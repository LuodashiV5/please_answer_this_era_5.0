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\\Tccnasx1\エレ設_開発業務\01_製品\0107_プロジェクト\2018_NXGV_新通信\新TCC-LINK仕様\新TCC-LINK_通信仕様書\6.2.各コマンドフォーマット\フレームフォーマット：旧(新旧互換)\"/>
    </mc:Choice>
  </mc:AlternateContent>
  <xr:revisionPtr revIDLastSave="2" documentId="13_ncr:1_{F22E216E-7841-40BA-B80A-13DE9FFAE0A7}" xr6:coauthVersionLast="47" xr6:coauthVersionMax="47" xr10:uidLastSave="{48B3D67C-F421-4D43-8354-D6083124F8B3}"/>
  <bookViews>
    <workbookView xWindow="-28920" yWindow="1530" windowWidth="29040" windowHeight="15840" xr2:uid="{00000000-000D-0000-FFFF-FFFF00000000}"/>
  </bookViews>
  <sheets>
    <sheet name="１．概要" sheetId="4" r:id="rId1"/>
    <sheet name="２．詳細仕様" sheetId="7" r:id="rId2"/>
    <sheet name="３．１．2F_Request" sheetId="2" r:id="rId3"/>
    <sheet name="３．２．2F_Response" sheetId="9" r:id="rId4"/>
    <sheet name="３．３．2F_Set" sheetId="10" r:id="rId5"/>
    <sheet name="４．参考_RACIF_FlowChart" sheetId="8" r:id="rId6"/>
    <sheet name="Backup資料→→→→→→" sheetId="11" r:id="rId7"/>
    <sheet name="対応デバイスグループ" sheetId="3" r:id="rId8"/>
  </sheets>
  <externalReferences>
    <externalReference r:id="rId9"/>
    <externalReference r:id="rId10"/>
  </externalReferences>
  <definedNames>
    <definedName name="_xlnm._FilterDatabase" localSheetId="1" hidden="1">'２．詳細仕様'!$I$1:$I$55</definedName>
    <definedName name="_Sort" localSheetId="1" hidden="1">[1]DENSEN3!#REF!</definedName>
    <definedName name="_Sort" localSheetId="2" hidden="1">[1]DENSEN3!#REF!</definedName>
    <definedName name="_Sort" localSheetId="3" hidden="1">[1]DENSEN3!#REF!</definedName>
    <definedName name="_Sort" localSheetId="4" hidden="1">[1]DENSEN3!#REF!</definedName>
    <definedName name="_Sort" localSheetId="5" hidden="1">[1]DENSEN3!#REF!</definedName>
    <definedName name="_Sort" hidden="1">[1]DENSEN3!#REF!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 localSheetId="5">#REF!</definedName>
    <definedName name="AAA">#REF!</definedName>
    <definedName name="BBB" localSheetId="1">#REF!</definedName>
    <definedName name="BBB" localSheetId="2">#REF!</definedName>
    <definedName name="BBB" localSheetId="3">#REF!</definedName>
    <definedName name="BBB" localSheetId="4">#REF!</definedName>
    <definedName name="BBB" localSheetId="5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 localSheetId="2">#REF!</definedName>
    <definedName name="仕訳Ｔｂｌ" localSheetId="3">#REF!</definedName>
    <definedName name="仕訳Ｔｂｌ" localSheetId="4">#REF!</definedName>
    <definedName name="仕訳Ｔｂｌ" localSheetId="5">#REF!</definedName>
    <definedName name="仕訳Ｔｂｌ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7" l="1"/>
  <c r="AB11" i="7"/>
  <c r="AB10" i="7"/>
  <c r="AB9" i="7"/>
  <c r="AB8" i="7"/>
  <c r="AB7" i="7"/>
  <c r="G7" i="7"/>
  <c r="G9" i="7" s="1"/>
  <c r="G11" i="7" s="1"/>
  <c r="G13" i="7" s="1"/>
  <c r="G15" i="7" s="1"/>
  <c r="G17" i="7" s="1"/>
  <c r="G19" i="7" s="1"/>
  <c r="G21" i="7" s="1"/>
  <c r="G23" i="7" s="1"/>
  <c r="G25" i="7" s="1"/>
  <c r="G27" i="7" s="1"/>
  <c r="G29" i="7" s="1"/>
  <c r="G31" i="7" s="1"/>
  <c r="G33" i="7" s="1"/>
  <c r="G35" i="7" s="1"/>
  <c r="G37" i="7" s="1"/>
  <c r="G39" i="7" s="1"/>
  <c r="G41" i="7" s="1"/>
  <c r="G43" i="7" s="1"/>
  <c r="G45" i="7" s="1"/>
  <c r="G47" i="7" s="1"/>
  <c r="G49" i="7" s="1"/>
  <c r="G51" i="7" s="1"/>
  <c r="G53" i="7" s="1"/>
  <c r="G55" i="7" s="1"/>
  <c r="G57" i="7" s="1"/>
  <c r="G59" i="7" s="1"/>
  <c r="AB6" i="7"/>
  <c r="AB5" i="7"/>
  <c r="G63" i="7" l="1"/>
  <c r="G61" i="7"/>
  <c r="G65" i="7" s="1"/>
  <c r="G69" i="7" l="1"/>
  <c r="G67" i="7"/>
  <c r="G71" i="7" s="1"/>
  <c r="G75" i="7" l="1"/>
  <c r="G73" i="7"/>
  <c r="G77" i="7" s="1"/>
  <c r="G79" i="7" l="1"/>
  <c r="G83" i="7" s="1"/>
  <c r="G81" i="7"/>
  <c r="G87" i="7" l="1"/>
  <c r="G85" i="7"/>
  <c r="G89" i="7" s="1"/>
  <c r="G93" i="7" l="1"/>
  <c r="G91" i="7"/>
  <c r="G95" i="7" s="1"/>
</calcChain>
</file>

<file path=xl/sharedStrings.xml><?xml version="1.0" encoding="utf-8"?>
<sst xmlns="http://schemas.openxmlformats.org/spreadsheetml/2006/main" count="1507" uniqueCount="257">
  <si>
    <t>１．概要</t>
    <rPh sb="2" eb="4">
      <t>ガイヨウ</t>
    </rPh>
    <phoneticPr fontId="1"/>
  </si>
  <si>
    <t>１．要求仕様</t>
    <rPh sb="2" eb="6">
      <t>ヨウキュウシヨウ</t>
    </rPh>
    <phoneticPr fontId="1"/>
  </si>
  <si>
    <t>・RACI/Fは起動時に「旧通信モード」で起動し、集中コントローラーがRAC対応している機種の場合のみ「新通信モード」に切り替わる</t>
    <rPh sb="14" eb="16">
      <t>ツウシン</t>
    </rPh>
    <rPh sb="52" eb="55">
      <t>シンツウシン</t>
    </rPh>
    <phoneticPr fontId="1"/>
  </si>
  <si>
    <t>　※「旧通信モード」で起動することで旧コントローラーでも空調機として認識し「運転/停止」「運転モード」「設定温度」の制御監視が可能。</t>
    <rPh sb="3" eb="6">
      <t>キュウツウシン</t>
    </rPh>
    <rPh sb="11" eb="13">
      <t>キドウ</t>
    </rPh>
    <rPh sb="18" eb="19">
      <t>キュウ</t>
    </rPh>
    <rPh sb="28" eb="31">
      <t>クウチョウキ</t>
    </rPh>
    <rPh sb="34" eb="36">
      <t>ニンシキ</t>
    </rPh>
    <rPh sb="38" eb="40">
      <t>ウンテン</t>
    </rPh>
    <rPh sb="41" eb="43">
      <t>テイシ</t>
    </rPh>
    <rPh sb="45" eb="47">
      <t>ウンテン</t>
    </rPh>
    <rPh sb="52" eb="56">
      <t>セッテイオンド</t>
    </rPh>
    <rPh sb="58" eb="62">
      <t>セイギョカンシ</t>
    </rPh>
    <rPh sb="63" eb="65">
      <t>カノウ</t>
    </rPh>
    <phoneticPr fontId="1"/>
  </si>
  <si>
    <t>　※「新通信モード」になることでRAC固有のメリット機能(SilenceCDU等)、RAC固有の警報コードとその文言を表示可能となる。</t>
    <rPh sb="3" eb="6">
      <t>シンツウシン</t>
    </rPh>
    <rPh sb="19" eb="21">
      <t>コユウ</t>
    </rPh>
    <rPh sb="26" eb="28">
      <t>キノウ</t>
    </rPh>
    <rPh sb="39" eb="40">
      <t>ナド</t>
    </rPh>
    <rPh sb="45" eb="47">
      <t>コユウ</t>
    </rPh>
    <rPh sb="48" eb="50">
      <t>ケイホウ</t>
    </rPh>
    <rPh sb="56" eb="58">
      <t>モンゴン</t>
    </rPh>
    <rPh sb="59" eb="63">
      <t>ヒョウジカノウ</t>
    </rPh>
    <phoneticPr fontId="1"/>
  </si>
  <si>
    <t>２．現状</t>
    <rPh sb="2" eb="4">
      <t>ゲンジョウ</t>
    </rPh>
    <phoneticPr fontId="1"/>
  </si>
  <si>
    <t>・接続対象機種の判定方法</t>
    <rPh sb="1" eb="7">
      <t>セツゾクタイショウキシュ</t>
    </rPh>
    <rPh sb="8" eb="12">
      <t>ハンテイホウホウ</t>
    </rPh>
    <phoneticPr fontId="1"/>
  </si>
  <si>
    <t>　初期通信時に以下を判定し、不揮発性メモリに記録（設定ファイルを使うBMSの場合は設定ファイルにて記録）</t>
    <rPh sb="1" eb="5">
      <t>ショキツウシン</t>
    </rPh>
    <rPh sb="5" eb="6">
      <t>ジ</t>
    </rPh>
    <rPh sb="7" eb="9">
      <t>イカ</t>
    </rPh>
    <rPh sb="10" eb="12">
      <t>ハンテイ</t>
    </rPh>
    <rPh sb="14" eb="18">
      <t>フキハツセイ</t>
    </rPh>
    <rPh sb="22" eb="24">
      <t>キロク</t>
    </rPh>
    <rPh sb="25" eb="27">
      <t>セッテイ</t>
    </rPh>
    <rPh sb="32" eb="33">
      <t>ツカ</t>
    </rPh>
    <rPh sb="38" eb="40">
      <t>バアイ</t>
    </rPh>
    <rPh sb="41" eb="43">
      <t>セッテイ</t>
    </rPh>
    <rPh sb="49" eb="51">
      <t>キロク</t>
    </rPh>
    <phoneticPr fontId="1"/>
  </si>
  <si>
    <t>　【初期通信】</t>
    <rPh sb="2" eb="6">
      <t>ショキツウシン</t>
    </rPh>
    <phoneticPr fontId="1"/>
  </si>
  <si>
    <t xml:space="preserve"> </t>
    <phoneticPr fontId="1"/>
  </si>
  <si>
    <t>　　（１）06コマンド(アドレス取得)・・・対象室内ユニットの新旧判定（新対応/新非対応を判定）</t>
    <rPh sb="16" eb="18">
      <t>シュトク</t>
    </rPh>
    <rPh sb="22" eb="26">
      <t>タイショウシツナイ</t>
    </rPh>
    <rPh sb="31" eb="35">
      <t>シンキュウハンテイ</t>
    </rPh>
    <rPh sb="36" eb="37">
      <t>シン</t>
    </rPh>
    <rPh sb="37" eb="39">
      <t>タイオウ</t>
    </rPh>
    <rPh sb="40" eb="41">
      <t>シン</t>
    </rPh>
    <rPh sb="41" eb="44">
      <t>ヒタイオウ</t>
    </rPh>
    <rPh sb="45" eb="47">
      <t>ハンテイ</t>
    </rPh>
    <phoneticPr fontId="1"/>
  </si>
  <si>
    <t>　　（２）E8コマンド(室内種別コードDN92)・・・室内種別を判定（VRFLC/ATWを判定）</t>
    <rPh sb="12" eb="16">
      <t>シツナイシュベツ</t>
    </rPh>
    <rPh sb="27" eb="31">
      <t>シツナイシュベツ</t>
    </rPh>
    <rPh sb="32" eb="34">
      <t>ハンテイ</t>
    </rPh>
    <rPh sb="45" eb="47">
      <t>ハンテイ</t>
    </rPh>
    <phoneticPr fontId="1"/>
  </si>
  <si>
    <t>・システムコントローラーは以下3種ある</t>
    <rPh sb="13" eb="15">
      <t>イカ</t>
    </rPh>
    <rPh sb="16" eb="17">
      <t>シュ</t>
    </rPh>
    <phoneticPr fontId="1"/>
  </si>
  <si>
    <t>３．課題</t>
    <rPh sb="2" eb="4">
      <t>カダイ</t>
    </rPh>
    <phoneticPr fontId="1"/>
  </si>
  <si>
    <t>・RACI/Fは室内機種コード「80(店舗カスタム)」を返してよいか、「D0(RACI/F)」を返してよいか判断不可能。</t>
    <rPh sb="8" eb="10">
      <t>シツナイ</t>
    </rPh>
    <rPh sb="10" eb="12">
      <t>キシュ</t>
    </rPh>
    <rPh sb="19" eb="21">
      <t>テンポ</t>
    </rPh>
    <rPh sb="28" eb="29">
      <t>カエ</t>
    </rPh>
    <rPh sb="48" eb="49">
      <t>カエ</t>
    </rPh>
    <rPh sb="54" eb="56">
      <t>ハンダン</t>
    </rPh>
    <rPh sb="56" eb="59">
      <t>フカノウ</t>
    </rPh>
    <phoneticPr fontId="1"/>
  </si>
  <si>
    <t>室内機種コード</t>
    <rPh sb="0" eb="4">
      <t>シツナイキシュ</t>
    </rPh>
    <phoneticPr fontId="1"/>
  </si>
  <si>
    <t>　(上記、①、②コントローラーでは「D0(RACI/F)」に対応していないので、D0を受信するとON/OFFのみできるON/OFF機種として判断してしまう)</t>
    <rPh sb="2" eb="4">
      <t>ジョウキ</t>
    </rPh>
    <rPh sb="30" eb="32">
      <t>タイオウ</t>
    </rPh>
    <rPh sb="43" eb="45">
      <t>ジュシン</t>
    </rPh>
    <phoneticPr fontId="1"/>
  </si>
  <si>
    <t>→RACI/Fがコントローラーに対して「RACモード」に切り替わってよいか判断不可能。</t>
    <rPh sb="16" eb="17">
      <t>タイ</t>
    </rPh>
    <rPh sb="28" eb="29">
      <t>キ</t>
    </rPh>
    <rPh sb="30" eb="31">
      <t>カ</t>
    </rPh>
    <rPh sb="37" eb="42">
      <t>ハンダンフカノウ</t>
    </rPh>
    <phoneticPr fontId="1"/>
  </si>
  <si>
    <t>→新コントローラーで機種毎デバイスグループの対応/非対応の機種があり、RACI/Fはコントローラー②と③を判定する方法が存在しない。(①と②③の判定は可能)</t>
    <rPh sb="53" eb="55">
      <t>ハンテイ</t>
    </rPh>
    <rPh sb="57" eb="59">
      <t>ホウホウ</t>
    </rPh>
    <rPh sb="60" eb="62">
      <t>ソンザイ</t>
    </rPh>
    <rPh sb="72" eb="74">
      <t>ハンテイ</t>
    </rPh>
    <rPh sb="75" eb="77">
      <t>カノウ</t>
    </rPh>
    <phoneticPr fontId="1"/>
  </si>
  <si>
    <t>・今後もデバイスグループ対応/非対応のシステムコントローラーが増えていく(④、⑤・・・と増えていく)のにあたり、</t>
    <rPh sb="1" eb="3">
      <t>コンゴ</t>
    </rPh>
    <rPh sb="12" eb="14">
      <t>タイオウ</t>
    </rPh>
    <rPh sb="15" eb="18">
      <t>ヒタイオウ</t>
    </rPh>
    <rPh sb="31" eb="32">
      <t>フ</t>
    </rPh>
    <rPh sb="44" eb="45">
      <t>フ</t>
    </rPh>
    <phoneticPr fontId="1"/>
  </si>
  <si>
    <t>　コントローラー⇔空調機間の対応デバイスグループ対応/非対応情報の送受信が必要。</t>
    <rPh sb="9" eb="11">
      <t>クウチョウ</t>
    </rPh>
    <rPh sb="11" eb="12">
      <t>キ</t>
    </rPh>
    <phoneticPr fontId="1"/>
  </si>
  <si>
    <t>４．解決方法</t>
    <rPh sb="2" eb="6">
      <t>カイケツホウホウ</t>
    </rPh>
    <phoneticPr fontId="1"/>
  </si>
  <si>
    <t>・システムコントローラーが初期通信で、空調機に対応しているデバイスグループを通知する。</t>
    <rPh sb="13" eb="15">
      <t>ショキ</t>
    </rPh>
    <rPh sb="15" eb="17">
      <t>ツウシン</t>
    </rPh>
    <rPh sb="23" eb="25">
      <t>タイオウ</t>
    </rPh>
    <rPh sb="38" eb="40">
      <t>ツウチ</t>
    </rPh>
    <phoneticPr fontId="1"/>
  </si>
  <si>
    <t>・空調機が対応しているデバイスグループをシステムコントローラーに応答、通知する。</t>
    <rPh sb="1" eb="4">
      <t>クウチョウキ</t>
    </rPh>
    <rPh sb="5" eb="7">
      <t>タイオウ</t>
    </rPh>
    <rPh sb="32" eb="34">
      <t>オウトウ</t>
    </rPh>
    <rPh sb="35" eb="37">
      <t>ツウチ</t>
    </rPh>
    <phoneticPr fontId="1"/>
  </si>
  <si>
    <t>　　（１）06コマンド(アドレス取得)・・・対象室内ユニットの存在、新旧を判定(仮判定)</t>
    <rPh sb="16" eb="18">
      <t>シュトク</t>
    </rPh>
    <rPh sb="22" eb="26">
      <t>タイショウシツナイ</t>
    </rPh>
    <rPh sb="31" eb="33">
      <t>ソンザイ</t>
    </rPh>
    <rPh sb="34" eb="36">
      <t>シンキュウ</t>
    </rPh>
    <rPh sb="37" eb="39">
      <t>ハンテイ</t>
    </rPh>
    <rPh sb="40" eb="43">
      <t>カリハンテイ</t>
    </rPh>
    <phoneticPr fontId="1"/>
  </si>
  <si>
    <t>　　（２）2Fコマンド(対応デバイスグループ情報取得)・・・対象室内ユニットのデバイスグループを判定、新旧を再判定</t>
    <rPh sb="12" eb="14">
      <t>タイオウ</t>
    </rPh>
    <rPh sb="22" eb="26">
      <t>ジョウホウシュトク</t>
    </rPh>
    <rPh sb="30" eb="34">
      <t>タイショウシツナイ</t>
    </rPh>
    <rPh sb="48" eb="50">
      <t>ハンテイ</t>
    </rPh>
    <rPh sb="51" eb="53">
      <t>シンキュウ</t>
    </rPh>
    <rPh sb="54" eb="57">
      <t>サイハンテイ</t>
    </rPh>
    <phoneticPr fontId="1"/>
  </si>
  <si>
    <t>　　（３）E8コマンド(室内種別コード)・・・室内種別を判定（VRFLC/ATWを判定）</t>
    <rPh sb="12" eb="16">
      <t>シツナイシュベツ</t>
    </rPh>
    <rPh sb="23" eb="27">
      <t>シツナイシュベツ</t>
    </rPh>
    <rPh sb="28" eb="30">
      <t>ハンテイ</t>
    </rPh>
    <rPh sb="41" eb="43">
      <t>ハンテイ</t>
    </rPh>
    <phoneticPr fontId="1"/>
  </si>
  <si>
    <t>５．利用目的</t>
    <rPh sb="2" eb="4">
      <t>リヨウ</t>
    </rPh>
    <rPh sb="4" eb="6">
      <t>モクテキ</t>
    </rPh>
    <phoneticPr fontId="1"/>
  </si>
  <si>
    <t>・システムコントローラーが各デバイスグループに対応/非対応を各機器に通知する。</t>
    <rPh sb="13" eb="14">
      <t>カク</t>
    </rPh>
    <rPh sb="23" eb="25">
      <t>タイオウ</t>
    </rPh>
    <rPh sb="26" eb="29">
      <t>ヒタイオウ</t>
    </rPh>
    <rPh sb="30" eb="33">
      <t>カクキキ</t>
    </rPh>
    <rPh sb="34" eb="36">
      <t>ツウチ</t>
    </rPh>
    <phoneticPr fontId="1"/>
  </si>
  <si>
    <t>・各機器がデバイスグループモードを切り替える。(例：RACI/Fが旧LCモード→新RACモードへ切替)</t>
    <rPh sb="1" eb="4">
      <t>カクキキ</t>
    </rPh>
    <rPh sb="17" eb="18">
      <t>キ</t>
    </rPh>
    <rPh sb="19" eb="20">
      <t>カ</t>
    </rPh>
    <rPh sb="24" eb="25">
      <t>レイ</t>
    </rPh>
    <rPh sb="33" eb="34">
      <t>キュウ</t>
    </rPh>
    <rPh sb="40" eb="41">
      <t>シン</t>
    </rPh>
    <rPh sb="48" eb="50">
      <t>キリカエ</t>
    </rPh>
    <phoneticPr fontId="1"/>
  </si>
  <si>
    <t>・システムコントローラーが各機器がどのデバイスグループ対応した機器であるか認識する。</t>
    <rPh sb="13" eb="14">
      <t>カク</t>
    </rPh>
    <rPh sb="14" eb="16">
      <t>キキ</t>
    </rPh>
    <rPh sb="27" eb="29">
      <t>タイオウ</t>
    </rPh>
    <rPh sb="31" eb="33">
      <t>キキ</t>
    </rPh>
    <rPh sb="37" eb="39">
      <t>ニンシキ</t>
    </rPh>
    <phoneticPr fontId="1"/>
  </si>
  <si>
    <t>６．概要フロー</t>
    <rPh sb="2" eb="4">
      <t>ガイヨウ</t>
    </rPh>
    <phoneticPr fontId="1"/>
  </si>
  <si>
    <t>①06コマンド要求(旧/新)</t>
    <phoneticPr fontId="1"/>
  </si>
  <si>
    <t>②06コマンド応答</t>
    <rPh sb="7" eb="9">
      <t>オウトウ</t>
    </rPh>
    <phoneticPr fontId="1"/>
  </si>
  <si>
    <t>③2Fコマンド要求(Request)(旧/新)</t>
    <rPh sb="7" eb="9">
      <t>ヨウキュウ</t>
    </rPh>
    <rPh sb="19" eb="20">
      <t>キュウ</t>
    </rPh>
    <rPh sb="21" eb="22">
      <t>シン</t>
    </rPh>
    <phoneticPr fontId="1"/>
  </si>
  <si>
    <t>④2Fコマンド応答(Response)(旧/新)</t>
    <rPh sb="7" eb="9">
      <t>オウトウ</t>
    </rPh>
    <rPh sb="20" eb="21">
      <t>キュウ</t>
    </rPh>
    <rPh sb="22" eb="23">
      <t>シン</t>
    </rPh>
    <phoneticPr fontId="1"/>
  </si>
  <si>
    <t>⑤2Fコマンド設定(Set)(旧/新)</t>
    <rPh sb="7" eb="9">
      <t>セッテイ</t>
    </rPh>
    <rPh sb="15" eb="16">
      <t>キュウ</t>
    </rPh>
    <rPh sb="17" eb="18">
      <t>シン</t>
    </rPh>
    <phoneticPr fontId="1"/>
  </si>
  <si>
    <t>⑥応答(Ack)</t>
    <rPh sb="1" eb="3">
      <t>オウトウ</t>
    </rPh>
    <phoneticPr fontId="1"/>
  </si>
  <si>
    <t>⑦E8コマンド要求(室内種別コードDN92)</t>
    <rPh sb="7" eb="9">
      <t>ヨウキュウ</t>
    </rPh>
    <phoneticPr fontId="1"/>
  </si>
  <si>
    <t>⑧E8応答</t>
    <rPh sb="3" eb="5">
      <t>オウトウ</t>
    </rPh>
    <phoneticPr fontId="1"/>
  </si>
  <si>
    <t>モード</t>
    <phoneticPr fontId="1"/>
  </si>
  <si>
    <t>フレームフォーマット</t>
    <phoneticPr fontId="1"/>
  </si>
  <si>
    <t>デバイスグループ</t>
    <phoneticPr fontId="1"/>
  </si>
  <si>
    <t>旧モード</t>
    <rPh sb="0" eb="1">
      <t>キュウ</t>
    </rPh>
    <phoneticPr fontId="1"/>
  </si>
  <si>
    <t>旧</t>
    <rPh sb="0" eb="1">
      <t>キュウ</t>
    </rPh>
    <phoneticPr fontId="1"/>
  </si>
  <si>
    <t>-</t>
    <phoneticPr fontId="1"/>
  </si>
  <si>
    <t>新モード</t>
    <rPh sb="0" eb="1">
      <t>シン</t>
    </rPh>
    <phoneticPr fontId="1"/>
  </si>
  <si>
    <t>新</t>
    <rPh sb="0" eb="1">
      <t>シン</t>
    </rPh>
    <phoneticPr fontId="1"/>
  </si>
  <si>
    <t>RAC</t>
    <phoneticPr fontId="1"/>
  </si>
  <si>
    <t>対応デバイスグループ</t>
    <rPh sb="0" eb="2">
      <t>タイオウ</t>
    </rPh>
    <phoneticPr fontId="1"/>
  </si>
  <si>
    <t>コントローラー</t>
    <phoneticPr fontId="1"/>
  </si>
  <si>
    <t>代表型名</t>
    <rPh sb="0" eb="2">
      <t>ダイヒョウ</t>
    </rPh>
    <rPh sb="2" eb="4">
      <t>カタメイ</t>
    </rPh>
    <phoneticPr fontId="1"/>
  </si>
  <si>
    <t>新旧互換</t>
    <rPh sb="0" eb="4">
      <t>シンキュウゴカン</t>
    </rPh>
    <phoneticPr fontId="1"/>
  </si>
  <si>
    <t>新-共通</t>
    <rPh sb="0" eb="1">
      <t>シン</t>
    </rPh>
    <rPh sb="2" eb="4">
      <t>キョウツウ</t>
    </rPh>
    <phoneticPr fontId="1"/>
  </si>
  <si>
    <t>新-VRF/LC</t>
    <rPh sb="0" eb="1">
      <t>シン</t>
    </rPh>
    <phoneticPr fontId="1"/>
  </si>
  <si>
    <t>ATW</t>
    <phoneticPr fontId="1"/>
  </si>
  <si>
    <t>CHL</t>
    <phoneticPr fontId="1"/>
  </si>
  <si>
    <t>①旧コントローラー</t>
    <rPh sb="1" eb="2">
      <t>キュウ</t>
    </rPh>
    <phoneticPr fontId="1"/>
  </si>
  <si>
    <t>BMS-CT5121</t>
    <phoneticPr fontId="1"/>
  </si>
  <si>
    <t>〇</t>
    <phoneticPr fontId="1"/>
  </si>
  <si>
    <t>×</t>
    <phoneticPr fontId="1"/>
  </si>
  <si>
    <t>②新コントローラー(RAC非対応)</t>
    <rPh sb="1" eb="2">
      <t>シン</t>
    </rPh>
    <rPh sb="13" eb="16">
      <t>ヒタイオウ</t>
    </rPh>
    <phoneticPr fontId="1"/>
  </si>
  <si>
    <t>(現行)BMS-CT1280TU</t>
    <rPh sb="1" eb="3">
      <t>ゲンコウ</t>
    </rPh>
    <phoneticPr fontId="1"/>
  </si>
  <si>
    <t>③新コントローラー(RAC対応)</t>
    <phoneticPr fontId="1"/>
  </si>
  <si>
    <t>(新)BMS-CT1280TU</t>
    <rPh sb="1" eb="2">
      <t>シン</t>
    </rPh>
    <phoneticPr fontId="1"/>
  </si>
  <si>
    <t>詳細仕様</t>
    <rPh sb="0" eb="2">
      <t>ショウサイ</t>
    </rPh>
    <rPh sb="2" eb="4">
      <t>シヨウ</t>
    </rPh>
    <phoneticPr fontId="1"/>
  </si>
  <si>
    <t>●06，2F要求，2F設定パターン</t>
    <rPh sb="6" eb="8">
      <t>ヨウキュウ</t>
    </rPh>
    <rPh sb="11" eb="13">
      <t>セッテイ</t>
    </rPh>
    <phoneticPr fontId="1"/>
  </si>
  <si>
    <t>●BMSにおける2F設定指示データの算出方法</t>
    <rPh sb="10" eb="12">
      <t>セッテイ</t>
    </rPh>
    <rPh sb="12" eb="14">
      <t>シジ</t>
    </rPh>
    <rPh sb="18" eb="20">
      <t>サンシュツ</t>
    </rPh>
    <rPh sb="20" eb="22">
      <t>ホウホウ</t>
    </rPh>
    <phoneticPr fontId="1"/>
  </si>
  <si>
    <t>項目概要</t>
    <rPh sb="0" eb="2">
      <t>コウモク</t>
    </rPh>
    <rPh sb="2" eb="4">
      <t>ガイヨウ</t>
    </rPh>
    <phoneticPr fontId="1"/>
  </si>
  <si>
    <t>パターン</t>
    <phoneticPr fontId="1"/>
  </si>
  <si>
    <t>概要フローNo.</t>
    <rPh sb="0" eb="2">
      <t>ガイヨウ</t>
    </rPh>
    <phoneticPr fontId="1"/>
  </si>
  <si>
    <t>システムコントローラー(BMS)</t>
    <phoneticPr fontId="1"/>
  </si>
  <si>
    <t>通信種別</t>
    <rPh sb="0" eb="2">
      <t>ツウシン</t>
    </rPh>
    <rPh sb="2" eb="4">
      <t>シュベツ</t>
    </rPh>
    <phoneticPr fontId="1"/>
  </si>
  <si>
    <t>ユニット(RACIF/ATW/新VRF/旧VRF)</t>
    <rPh sb="15" eb="16">
      <t>シン</t>
    </rPh>
    <rPh sb="20" eb="21">
      <t>キュウ</t>
    </rPh>
    <phoneticPr fontId="1"/>
  </si>
  <si>
    <t>デバイスグループ(DG)</t>
    <phoneticPr fontId="1"/>
  </si>
  <si>
    <t>2F用対応DGbit</t>
    <rPh sb="2" eb="3">
      <t>ヨウ</t>
    </rPh>
    <rPh sb="3" eb="5">
      <t>タイオウ</t>
    </rPh>
    <phoneticPr fontId="1"/>
  </si>
  <si>
    <t>BMS 2F設定指示時</t>
    <rPh sb="6" eb="8">
      <t>セッテイ</t>
    </rPh>
    <rPh sb="8" eb="10">
      <t>シジ</t>
    </rPh>
    <rPh sb="10" eb="11">
      <t>ジ</t>
    </rPh>
    <phoneticPr fontId="1"/>
  </si>
  <si>
    <t>判定結果</t>
    <rPh sb="0" eb="4">
      <t>ハンテイケッカ</t>
    </rPh>
    <phoneticPr fontId="1"/>
  </si>
  <si>
    <t>機種</t>
    <rPh sb="0" eb="2">
      <t>キシュ</t>
    </rPh>
    <phoneticPr fontId="1"/>
  </si>
  <si>
    <t>併用設定</t>
    <rPh sb="0" eb="2">
      <t>ヘイヨウ</t>
    </rPh>
    <rPh sb="2" eb="4">
      <t>セッテイ</t>
    </rPh>
    <phoneticPr fontId="1"/>
  </si>
  <si>
    <t>RAC対応</t>
    <rPh sb="3" eb="5">
      <t>タイオウ</t>
    </rPh>
    <phoneticPr fontId="1"/>
  </si>
  <si>
    <t>方向</t>
    <rPh sb="0" eb="2">
      <t>ホウコウ</t>
    </rPh>
    <phoneticPr fontId="1"/>
  </si>
  <si>
    <t>CMD</t>
    <phoneticPr fontId="1"/>
  </si>
  <si>
    <t>CC</t>
    <phoneticPr fontId="1"/>
  </si>
  <si>
    <t>DG</t>
    <phoneticPr fontId="1"/>
  </si>
  <si>
    <t>新/旧</t>
    <rPh sb="0" eb="1">
      <t>シン</t>
    </rPh>
    <rPh sb="2" eb="3">
      <t>キュウ</t>
    </rPh>
    <phoneticPr fontId="1"/>
  </si>
  <si>
    <t>Auto/Manual</t>
    <phoneticPr fontId="1"/>
  </si>
  <si>
    <t>判定結果</t>
    <rPh sb="2" eb="4">
      <t>ケッカ</t>
    </rPh>
    <phoneticPr fontId="1"/>
  </si>
  <si>
    <t>BMS内部</t>
    <rPh sb="3" eb="5">
      <t>ナイブ</t>
    </rPh>
    <phoneticPr fontId="1"/>
  </si>
  <si>
    <t>RAC I/F応答</t>
    <rPh sb="7" eb="9">
      <t>オウトウ</t>
    </rPh>
    <phoneticPr fontId="1"/>
  </si>
  <si>
    <t>（＆をとる）</t>
    <phoneticPr fontId="1"/>
  </si>
  <si>
    <t>RAC
I/F</t>
    <phoneticPr fontId="1"/>
  </si>
  <si>
    <t>06要求</t>
    <rPh sb="2" eb="4">
      <t>ヨウキュウ</t>
    </rPh>
    <phoneticPr fontId="1"/>
  </si>
  <si>
    <t>①06コマンド要求</t>
    <phoneticPr fontId="1"/>
  </si>
  <si>
    <t>－</t>
    <phoneticPr fontId="1"/>
  </si>
  <si>
    <t>7inchTSC
(RAC対応)</t>
    <rPh sb="13" eb="15">
      <t>タイオウ</t>
    </rPh>
    <phoneticPr fontId="1"/>
  </si>
  <si>
    <t>新
コントローラ</t>
    <rPh sb="0" eb="1">
      <t>シン</t>
    </rPh>
    <phoneticPr fontId="1"/>
  </si>
  <si>
    <t>○</t>
    <phoneticPr fontId="1"/>
  </si>
  <si>
    <t>→</t>
    <phoneticPr fontId="1"/>
  </si>
  <si>
    <t>06</t>
    <phoneticPr fontId="1"/>
  </si>
  <si>
    <t>要求</t>
    <rPh sb="0" eb="2">
      <t>ヨウキュウ</t>
    </rPh>
    <phoneticPr fontId="1"/>
  </si>
  <si>
    <t>RAC I/F</t>
    <phoneticPr fontId="1"/>
  </si>
  <si>
    <t>なし</t>
    <phoneticPr fontId="1"/>
  </si>
  <si>
    <t>0x00 新旧互換-専用-VRF/LC</t>
  </si>
  <si>
    <t>②06コマンド応答</t>
    <phoneticPr fontId="1"/>
  </si>
  <si>
    <t>新通信に切り替える</t>
    <rPh sb="0" eb="1">
      <t>シン</t>
    </rPh>
    <rPh sb="1" eb="3">
      <t>ツウシン</t>
    </rPh>
    <rPh sb="4" eb="5">
      <t>キ</t>
    </rPh>
    <rPh sb="6" eb="7">
      <t>カ</t>
    </rPh>
    <phoneticPr fontId="1"/>
  </si>
  <si>
    <t>←</t>
    <phoneticPr fontId="1"/>
  </si>
  <si>
    <t>応答</t>
    <rPh sb="0" eb="2">
      <t>オウトウ</t>
    </rPh>
    <phoneticPr fontId="1"/>
  </si>
  <si>
    <t>RAC I/F</t>
  </si>
  <si>
    <t>RAC</t>
  </si>
  <si>
    <t>0x01 新-共通—</t>
  </si>
  <si>
    <t>－</t>
  </si>
  <si>
    <t>○</t>
  </si>
  <si>
    <t>→</t>
  </si>
  <si>
    <t>06</t>
  </si>
  <si>
    <t>0x02 新-専用-VRF/LC</t>
  </si>
  <si>
    <t>←</t>
  </si>
  <si>
    <t>0x03 新-専用-ATW　</t>
  </si>
  <si>
    <t>-</t>
  </si>
  <si>
    <t>旧LC</t>
    <rPh sb="0" eb="1">
      <t>キュウ</t>
    </rPh>
    <phoneticPr fontId="1"/>
  </si>
  <si>
    <t>0x04 新-専用-RAC</t>
  </si>
  <si>
    <t>0x05 新-専用-Chiller　</t>
  </si>
  <si>
    <t>0x06 新-専用-予備</t>
  </si>
  <si>
    <t>無応答</t>
    <rPh sb="0" eb="1">
      <t>ム</t>
    </rPh>
    <rPh sb="1" eb="3">
      <t>オウトウ</t>
    </rPh>
    <phoneticPr fontId="1"/>
  </si>
  <si>
    <t>0x07 新-専用-System Controller</t>
  </si>
  <si>
    <t>旧
コントローラ</t>
    <rPh sb="0" eb="1">
      <t>キュウ</t>
    </rPh>
    <phoneticPr fontId="1"/>
  </si>
  <si>
    <t>なし(新通信非対応)</t>
    <rPh sb="3" eb="4">
      <t>シン</t>
    </rPh>
    <rPh sb="4" eb="6">
      <t>ツウシン</t>
    </rPh>
    <rPh sb="6" eb="9">
      <t>ヒタイオウ</t>
    </rPh>
    <phoneticPr fontId="1"/>
  </si>
  <si>
    <t>2F要求</t>
    <rPh sb="2" eb="4">
      <t>ヨウキュウ</t>
    </rPh>
    <phoneticPr fontId="1"/>
  </si>
  <si>
    <t>③2Fコマンド要求</t>
    <phoneticPr fontId="1"/>
  </si>
  <si>
    <t>2F</t>
    <phoneticPr fontId="1"/>
  </si>
  <si>
    <t>④2Fコマンド応答</t>
    <phoneticPr fontId="1"/>
  </si>
  <si>
    <t>設定指示の指定データ作成に使う</t>
    <rPh sb="0" eb="2">
      <t>セッテイ</t>
    </rPh>
    <rPh sb="2" eb="4">
      <t>シジ</t>
    </rPh>
    <rPh sb="5" eb="7">
      <t>シテイ</t>
    </rPh>
    <rPh sb="10" eb="12">
      <t>サクセイ</t>
    </rPh>
    <rPh sb="13" eb="14">
      <t>ツカ</t>
    </rPh>
    <phoneticPr fontId="1"/>
  </si>
  <si>
    <t>旧</t>
    <phoneticPr fontId="1"/>
  </si>
  <si>
    <t>RAC I/Fの対応DGbitを応答する。</t>
    <rPh sb="8" eb="10">
      <t>タイオウ</t>
    </rPh>
    <rPh sb="16" eb="18">
      <t>オウトウ</t>
    </rPh>
    <phoneticPr fontId="1"/>
  </si>
  <si>
    <t>Auto</t>
    <phoneticPr fontId="1"/>
  </si>
  <si>
    <t>Manual</t>
    <phoneticPr fontId="1"/>
  </si>
  <si>
    <t>Nack</t>
    <phoneticPr fontId="1"/>
  </si>
  <si>
    <t>※旧コン設定では送信しない</t>
    <rPh sb="1" eb="2">
      <t>キュウ</t>
    </rPh>
    <rPh sb="4" eb="6">
      <t>セッテイ</t>
    </rPh>
    <rPh sb="8" eb="10">
      <t>ソウシン</t>
    </rPh>
    <phoneticPr fontId="1"/>
  </si>
  <si>
    <t>2F設定</t>
    <rPh sb="2" eb="4">
      <t>セッテイ</t>
    </rPh>
    <phoneticPr fontId="1"/>
  </si>
  <si>
    <t>⑤2Fコマンド設定</t>
    <phoneticPr fontId="1"/>
  </si>
  <si>
    <t>BMSの対応DGbitとユニットの対応DGbitの＆をとったbitを設定指示する。</t>
    <phoneticPr fontId="1"/>
  </si>
  <si>
    <t>設定</t>
    <rPh sb="0" eb="2">
      <t>セッテイ</t>
    </rPh>
    <phoneticPr fontId="1"/>
  </si>
  <si>
    <t>対応DGbitが一致した場合、
(RACモードに切り替えて)Ack応答。</t>
    <rPh sb="8" eb="10">
      <t>イッチ</t>
    </rPh>
    <rPh sb="12" eb="14">
      <t>バアイ</t>
    </rPh>
    <rPh sb="33" eb="35">
      <t>オウトウ</t>
    </rPh>
    <phoneticPr fontId="1"/>
  </si>
  <si>
    <t>⑥応答</t>
    <phoneticPr fontId="1"/>
  </si>
  <si>
    <t>Ack応答の場合は、新通信に切り替える。</t>
    <rPh sb="3" eb="5">
      <t>オウトウ</t>
    </rPh>
    <rPh sb="6" eb="8">
      <t>バアイ</t>
    </rPh>
    <rPh sb="10" eb="11">
      <t>シン</t>
    </rPh>
    <rPh sb="11" eb="13">
      <t>ツウシン</t>
    </rPh>
    <rPh sb="14" eb="15">
      <t>キ</t>
    </rPh>
    <rPh sb="16" eb="17">
      <t>カ</t>
    </rPh>
    <phoneticPr fontId="1"/>
  </si>
  <si>
    <t>Ack
Nack</t>
    <phoneticPr fontId="1"/>
  </si>
  <si>
    <t>旧</t>
  </si>
  <si>
    <t>Ack or Nack</t>
    <phoneticPr fontId="1"/>
  </si>
  <si>
    <t>設定</t>
  </si>
  <si>
    <t>Ack or Nack</t>
  </si>
  <si>
    <t>対応DGbitが一致した場合、
RACモードに切り替えてAck応答。</t>
    <rPh sb="8" eb="10">
      <t>イッチ</t>
    </rPh>
    <rPh sb="12" eb="14">
      <t>バアイ</t>
    </rPh>
    <rPh sb="31" eb="33">
      <t>オウトウ</t>
    </rPh>
    <phoneticPr fontId="1"/>
  </si>
  <si>
    <t>対応DGbitが一致した場合、Ack応答。</t>
    <rPh sb="0" eb="2">
      <t>タイオウ</t>
    </rPh>
    <rPh sb="8" eb="10">
      <t>イッチ</t>
    </rPh>
    <rPh sb="12" eb="14">
      <t>バアイ</t>
    </rPh>
    <rPh sb="18" eb="20">
      <t>オウトウ</t>
    </rPh>
    <phoneticPr fontId="1"/>
  </si>
  <si>
    <t>DGbitが一致した場合、
RACモードに切り替えてAck応答。</t>
    <rPh sb="6" eb="8">
      <t>イッチ</t>
    </rPh>
    <rPh sb="10" eb="12">
      <t>バアイ</t>
    </rPh>
    <rPh sb="29" eb="31">
      <t>オウトウ</t>
    </rPh>
    <phoneticPr fontId="1"/>
  </si>
  <si>
    <t>06要求</t>
    <phoneticPr fontId="1"/>
  </si>
  <si>
    <t>新通信</t>
    <rPh sb="0" eb="1">
      <t>シン</t>
    </rPh>
    <rPh sb="1" eb="3">
      <t>ツウシン</t>
    </rPh>
    <phoneticPr fontId="1"/>
  </si>
  <si>
    <t>2F要求</t>
    <phoneticPr fontId="1"/>
  </si>
  <si>
    <t>2F設定</t>
    <phoneticPr fontId="1"/>
  </si>
  <si>
    <t>2F要求の応答が得られないため、送信しない。
※送信した場合を記載</t>
    <rPh sb="2" eb="4">
      <t>ヨウキュウ</t>
    </rPh>
    <rPh sb="5" eb="7">
      <t>オウトウ</t>
    </rPh>
    <rPh sb="8" eb="9">
      <t>エ</t>
    </rPh>
    <rPh sb="16" eb="18">
      <t>ソウシン</t>
    </rPh>
    <rPh sb="24" eb="26">
      <t>ソウシン</t>
    </rPh>
    <rPh sb="28" eb="30">
      <t>バアイ</t>
    </rPh>
    <rPh sb="31" eb="33">
      <t>キサイ</t>
    </rPh>
    <phoneticPr fontId="1"/>
  </si>
  <si>
    <t>新
VRF</t>
    <rPh sb="0" eb="1">
      <t>シン</t>
    </rPh>
    <phoneticPr fontId="1"/>
  </si>
  <si>
    <t>新
コントローラ</t>
    <phoneticPr fontId="1"/>
  </si>
  <si>
    <t>新VRF</t>
    <rPh sb="0" eb="1">
      <t>シン</t>
    </rPh>
    <phoneticPr fontId="1"/>
  </si>
  <si>
    <t>未定</t>
    <rPh sb="0" eb="2">
      <t>ミテイ</t>
    </rPh>
    <phoneticPr fontId="1"/>
  </si>
  <si>
    <t>送信元アドレスが新コントローラのため、新通信で確定する</t>
    <rPh sb="0" eb="3">
      <t>ソウシンモト</t>
    </rPh>
    <rPh sb="8" eb="9">
      <t>シン</t>
    </rPh>
    <rPh sb="19" eb="20">
      <t>シン</t>
    </rPh>
    <rPh sb="20" eb="22">
      <t>ツウシン</t>
    </rPh>
    <rPh sb="23" eb="25">
      <t>カクテイ</t>
    </rPh>
    <phoneticPr fontId="1"/>
  </si>
  <si>
    <t>送信元アドレスが新コントローラのため、新通信で確定する</t>
    <rPh sb="23" eb="25">
      <t>カクテイ</t>
    </rPh>
    <phoneticPr fontId="1"/>
  </si>
  <si>
    <t>なし(既に新通信)</t>
    <rPh sb="3" eb="4">
      <t>スデ</t>
    </rPh>
    <rPh sb="5" eb="6">
      <t>シン</t>
    </rPh>
    <rPh sb="6" eb="8">
      <t>ツウシン</t>
    </rPh>
    <phoneticPr fontId="1"/>
  </si>
  <si>
    <t>送信元アドレスが旧コントローラのため、旧通信で確定する</t>
    <rPh sb="8" eb="9">
      <t>キュウ</t>
    </rPh>
    <rPh sb="19" eb="20">
      <t>キュウ</t>
    </rPh>
    <rPh sb="20" eb="22">
      <t>ツウシン</t>
    </rPh>
    <rPh sb="23" eb="25">
      <t>カクテイ</t>
    </rPh>
    <phoneticPr fontId="1"/>
  </si>
  <si>
    <t>旧通信</t>
    <rPh sb="0" eb="1">
      <t>キュウ</t>
    </rPh>
    <rPh sb="1" eb="3">
      <t>ツウシン</t>
    </rPh>
    <phoneticPr fontId="1"/>
  </si>
  <si>
    <t>新通信</t>
  </si>
  <si>
    <t>旧
VRF</t>
    <rPh sb="0" eb="1">
      <t>キュウ</t>
    </rPh>
    <phoneticPr fontId="1"/>
  </si>
  <si>
    <t>旧VRF</t>
    <rPh sb="0" eb="1">
      <t>キュウ</t>
    </rPh>
    <phoneticPr fontId="1"/>
  </si>
  <si>
    <t>無応答？</t>
    <rPh sb="0" eb="1">
      <t>ム</t>
    </rPh>
    <rPh sb="1" eb="3">
      <t>オウトウ</t>
    </rPh>
    <phoneticPr fontId="1"/>
  </si>
  <si>
    <t>旧通信</t>
    <rPh sb="0" eb="1">
      <t>キュウ</t>
    </rPh>
    <phoneticPr fontId="1"/>
  </si>
  <si>
    <t>コマンドコード</t>
    <phoneticPr fontId="1"/>
  </si>
  <si>
    <t>機能</t>
    <rPh sb="0" eb="2">
      <t>キノウ</t>
    </rPh>
    <phoneticPr fontId="1"/>
  </si>
  <si>
    <t>対応デバイスグループ情報を要求する。</t>
    <rPh sb="0" eb="2">
      <t>タイオウ</t>
    </rPh>
    <rPh sb="10" eb="12">
      <t>ジョウホウ</t>
    </rPh>
    <rPh sb="13" eb="15">
      <t>ヨウキュウ</t>
    </rPh>
    <phoneticPr fontId="1"/>
  </si>
  <si>
    <t>種別「要求コマンド」で送信する。</t>
    <rPh sb="3" eb="5">
      <t>ヨウキュウ</t>
    </rPh>
    <phoneticPr fontId="1"/>
  </si>
  <si>
    <t>b7</t>
    <phoneticPr fontId="1"/>
  </si>
  <si>
    <t>b6</t>
    <phoneticPr fontId="1"/>
  </si>
  <si>
    <t>b5</t>
  </si>
  <si>
    <t>b4</t>
  </si>
  <si>
    <t>b3</t>
  </si>
  <si>
    <t>b2</t>
  </si>
  <si>
    <t>b1</t>
  </si>
  <si>
    <t>b0</t>
  </si>
  <si>
    <t>旧データ E8 DN</t>
    <rPh sb="0" eb="1">
      <t>キュウ</t>
    </rPh>
    <phoneticPr fontId="1"/>
  </si>
  <si>
    <t>新データ E8 DN</t>
    <rPh sb="0" eb="1">
      <t>シン</t>
    </rPh>
    <phoneticPr fontId="1"/>
  </si>
  <si>
    <t>備考</t>
    <rPh sb="0" eb="2">
      <t>ビコウ</t>
    </rPh>
    <phoneticPr fontId="1"/>
  </si>
  <si>
    <t>コマンド</t>
    <phoneticPr fontId="1"/>
  </si>
  <si>
    <t>D0</t>
    <phoneticPr fontId="1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</si>
  <si>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</si>
  <si>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</si>
  <si>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</si>
  <si>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</si>
  <si>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</si>
  <si>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</si>
  <si>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</si>
  <si>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</si>
  <si>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</si>
  <si>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</si>
  <si>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</si>
  <si>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</si>
  <si>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</si>
  <si>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</si>
  <si>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</si>
  <si>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</si>
  <si>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</si>
  <si>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</si>
  <si>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</si>
  <si>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</si>
  <si>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</si>
  <si>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</si>
  <si>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</si>
  <si>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</si>
  <si>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</si>
  <si>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</si>
  <si>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</si>
  <si>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</si>
  <si>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</si>
  <si>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</si>
  <si>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対応デバイスグループ情報要求に対して応答する。</t>
    <rPh sb="0" eb="2">
      <t>タイオウ</t>
    </rPh>
    <rPh sb="10" eb="12">
      <t>ジョウホウ</t>
    </rPh>
    <rPh sb="12" eb="14">
      <t>ヨウキュウ</t>
    </rPh>
    <rPh sb="15" eb="16">
      <t>タイ</t>
    </rPh>
    <rPh sb="18" eb="20">
      <t>オウトウ</t>
    </rPh>
    <phoneticPr fontId="1"/>
  </si>
  <si>
    <t>送信元が対応しているデバイスグループ情報をセットして応答する。</t>
    <rPh sb="0" eb="3">
      <t>ソウシンモト</t>
    </rPh>
    <rPh sb="4" eb="6">
      <t>タイオウ</t>
    </rPh>
    <rPh sb="18" eb="20">
      <t>ジョウホウ</t>
    </rPh>
    <rPh sb="26" eb="28">
      <t>オウトウ</t>
    </rPh>
    <phoneticPr fontId="1"/>
  </si>
  <si>
    <t>種別「応答データ」で送信する。</t>
    <phoneticPr fontId="1"/>
  </si>
  <si>
    <t>送信元が対応しているデバイスグループ(対応=1/非対応=0)</t>
    <rPh sb="0" eb="3">
      <t>ソウシンモト</t>
    </rPh>
    <rPh sb="4" eb="6">
      <t>タイオウ</t>
    </rPh>
    <rPh sb="19" eb="21">
      <t>タイオウ</t>
    </rPh>
    <rPh sb="24" eb="27">
      <t>ヒタイオウ</t>
    </rPh>
    <phoneticPr fontId="1"/>
  </si>
  <si>
    <t>新-SYS</t>
  </si>
  <si>
    <t>予約</t>
    <rPh sb="0" eb="2">
      <t>ヨヤク</t>
    </rPh>
    <phoneticPr fontId="1"/>
  </si>
  <si>
    <t>新-CHL</t>
    <rPh sb="0" eb="1">
      <t>シン</t>
    </rPh>
    <phoneticPr fontId="1"/>
  </si>
  <si>
    <t>新-RAC</t>
    <phoneticPr fontId="1"/>
  </si>
  <si>
    <t>新-ATW</t>
    <phoneticPr fontId="1"/>
  </si>
  <si>
    <t>新-VRF</t>
    <rPh sb="0" eb="1">
      <t>シン</t>
    </rPh>
    <phoneticPr fontId="1"/>
  </si>
  <si>
    <t>送信先にデバイスグループ情報を指定する。</t>
    <rPh sb="0" eb="2">
      <t>ソウシン</t>
    </rPh>
    <rPh sb="2" eb="3">
      <t>サキ</t>
    </rPh>
    <rPh sb="12" eb="14">
      <t>ジョウホウ</t>
    </rPh>
    <rPh sb="15" eb="17">
      <t>シテイ</t>
    </rPh>
    <phoneticPr fontId="1"/>
  </si>
  <si>
    <t>種別「設定、指示コマンド」で送信する。</t>
    <rPh sb="0" eb="2">
      <t>シュベツ</t>
    </rPh>
    <rPh sb="3" eb="5">
      <t>セッテイ</t>
    </rPh>
    <rPh sb="6" eb="8">
      <t>シジ</t>
    </rPh>
    <rPh sb="14" eb="16">
      <t>ソウシン</t>
    </rPh>
    <phoneticPr fontId="1"/>
  </si>
  <si>
    <t>送信先は本コマンドに対して対応可能なデバイスグループを指定されていた場合はAck/対応不可なデバイスグループを指定された場合はNackを応答する。</t>
    <rPh sb="0" eb="3">
      <t>ソウシンサキ</t>
    </rPh>
    <rPh sb="4" eb="5">
      <t>ホン</t>
    </rPh>
    <rPh sb="10" eb="11">
      <t>タイ</t>
    </rPh>
    <rPh sb="13" eb="17">
      <t>タイオウカノウ</t>
    </rPh>
    <rPh sb="27" eb="29">
      <t>シテイ</t>
    </rPh>
    <rPh sb="34" eb="36">
      <t>バアイ</t>
    </rPh>
    <rPh sb="41" eb="45">
      <t>タイオウフカ</t>
    </rPh>
    <rPh sb="55" eb="57">
      <t>シテイ</t>
    </rPh>
    <rPh sb="60" eb="62">
      <t>バアイ</t>
    </rPh>
    <rPh sb="68" eb="70">
      <t>オウトウ</t>
    </rPh>
    <phoneticPr fontId="1"/>
  </si>
  <si>
    <t>Flow chart (EEPROM書き込む方式）</t>
  </si>
  <si>
    <t>ディップスイッチ設定</t>
  </si>
  <si>
    <t>オート</t>
  </si>
  <si>
    <t>マニュアル</t>
  </si>
  <si>
    <t>未確定(LC)</t>
  </si>
  <si>
    <t>LC</t>
  </si>
  <si>
    <t>コマンド2F設定受信前</t>
  </si>
  <si>
    <t>RAC(EEPROM)</t>
  </si>
  <si>
    <t>コマンド2F設定受信後</t>
  </si>
  <si>
    <t>※旧LCモードでアドレス65以上設定時、7seg LEDでErr表示</t>
  </si>
  <si>
    <t>アドレス65以上</t>
  </si>
  <si>
    <t>Err</t>
  </si>
  <si>
    <t>TU2C-LINK対応かつRAC非対応のBMSと接続される場合、オートかつアドレス65以上を接続したとき、</t>
  </si>
  <si>
    <t>RAC IFはRACとして立ち上がり、BMS側は機種判別が正常に行われない。</t>
  </si>
  <si>
    <t>例：7inchタッチコンの場合、ON/OFFしかない</t>
  </si>
  <si>
    <t>[Response]・・・設定可能なモードなので複数項目を対応=1に設定可能</t>
    <rPh sb="13" eb="17">
      <t>セッテイカノウ</t>
    </rPh>
    <rPh sb="24" eb="28">
      <t>フクスウコウモク</t>
    </rPh>
    <rPh sb="29" eb="31">
      <t>タイオウ</t>
    </rPh>
    <rPh sb="34" eb="38">
      <t>セッテイカノウ</t>
    </rPh>
    <phoneticPr fontId="1"/>
  </si>
  <si>
    <t>対応デバイスグループ(対応=1/非対応=0)</t>
    <rPh sb="0" eb="2">
      <t>タイオウ</t>
    </rPh>
    <rPh sb="11" eb="13">
      <t>タイオウ</t>
    </rPh>
    <rPh sb="16" eb="19">
      <t>ヒタイオウ</t>
    </rPh>
    <phoneticPr fontId="1"/>
  </si>
  <si>
    <t>送信元</t>
    <rPh sb="0" eb="3">
      <t>ソウシンモト</t>
    </rPh>
    <phoneticPr fontId="1"/>
  </si>
  <si>
    <t>新-SYS</t>
    <rPh sb="0" eb="1">
      <t>シン</t>
    </rPh>
    <phoneticPr fontId="1"/>
  </si>
  <si>
    <t>(本コマンド対応)新VRF/LC</t>
    <rPh sb="9" eb="10">
      <t>シン</t>
    </rPh>
    <phoneticPr fontId="1"/>
  </si>
  <si>
    <t>(本コマンド対応)新ATW</t>
    <rPh sb="9" eb="10">
      <t>シン</t>
    </rPh>
    <phoneticPr fontId="1"/>
  </si>
  <si>
    <t>(本コマンド対応)RACI/F</t>
    <phoneticPr fontId="1"/>
  </si>
  <si>
    <t>(本コマンド対応)システムコントローラー</t>
    <phoneticPr fontId="1"/>
  </si>
  <si>
    <t>[Set]・・・送信先に対して動作モードを設定するので1項目のみ対応=1に設定可能</t>
    <rPh sb="8" eb="11">
      <t>ソウシンサキ</t>
    </rPh>
    <rPh sb="12" eb="13">
      <t>タイ</t>
    </rPh>
    <rPh sb="15" eb="17">
      <t>ドウサ</t>
    </rPh>
    <rPh sb="21" eb="23">
      <t>セッテイ</t>
    </rPh>
    <rPh sb="28" eb="30">
      <t>コウモク</t>
    </rPh>
    <rPh sb="32" eb="34">
      <t>タイオウ</t>
    </rPh>
    <rPh sb="37" eb="41">
      <t>セッテイカノウ</t>
    </rPh>
    <phoneticPr fontId="1"/>
  </si>
  <si>
    <t>送信先</t>
    <rPh sb="0" eb="2">
      <t>ソウシン</t>
    </rPh>
    <rPh sb="2" eb="3">
      <t>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</si>
</sst>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4" tint="-0.499984740745262"/>
      <name val="ＭＳ Ｐゴシック"/>
      <family val="3"/>
      <charset val="128"/>
    </font>
    <font>
      <sz val="11"/>
      <color theme="8"/>
      <name val="ＭＳ Ｐゴシック"/>
      <family val="3"/>
      <charset val="128"/>
    </font>
    <font>
      <strike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auto="1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/>
      <top style="double">
        <color auto="1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double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4" fillId="0" borderId="0"/>
  </cellStyleXfs>
  <cellXfs count="191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22" xfId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11" xfId="0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9" xfId="0" applyBorder="1"/>
    <xf numFmtId="0" fontId="0" fillId="0" borderId="28" xfId="0" applyBorder="1"/>
    <xf numFmtId="0" fontId="0" fillId="0" borderId="40" xfId="0" applyBorder="1"/>
    <xf numFmtId="0" fontId="0" fillId="0" borderId="43" xfId="0" applyBorder="1"/>
    <xf numFmtId="0" fontId="0" fillId="0" borderId="12" xfId="0" applyBorder="1"/>
    <xf numFmtId="0" fontId="0" fillId="0" borderId="6" xfId="0" applyBorder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6" fillId="0" borderId="0" xfId="0" applyFont="1"/>
    <xf numFmtId="0" fontId="0" fillId="0" borderId="24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50" xfId="0" applyBorder="1"/>
    <xf numFmtId="0" fontId="0" fillId="0" borderId="52" xfId="0" applyBorder="1"/>
    <xf numFmtId="0" fontId="0" fillId="0" borderId="53" xfId="0" applyBorder="1"/>
    <xf numFmtId="0" fontId="0" fillId="0" borderId="13" xfId="0" applyBorder="1"/>
    <xf numFmtId="0" fontId="0" fillId="0" borderId="2" xfId="0" applyBorder="1"/>
    <xf numFmtId="0" fontId="0" fillId="0" borderId="49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6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19" xfId="0" applyBorder="1" applyAlignment="1">
      <alignment horizontal="left" vertical="center" shrinkToFit="1"/>
    </xf>
    <xf numFmtId="0" fontId="0" fillId="0" borderId="19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10" xfId="0" applyBorder="1" applyAlignment="1">
      <alignment horizontal="left" vertical="center" wrapText="1" shrinkToFit="1"/>
    </xf>
    <xf numFmtId="0" fontId="0" fillId="0" borderId="1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10" xfId="0" applyBorder="1" applyAlignment="1">
      <alignment horizontal="left" vertical="center" shrinkToFit="1"/>
    </xf>
    <xf numFmtId="0" fontId="10" fillId="0" borderId="10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 shrinkToFit="1"/>
    </xf>
    <xf numFmtId="0" fontId="0" fillId="0" borderId="33" xfId="0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34" xfId="0" applyBorder="1" applyAlignment="1">
      <alignment vertical="center"/>
    </xf>
    <xf numFmtId="0" fontId="11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shrinkToFit="1"/>
    </xf>
    <xf numFmtId="0" fontId="0" fillId="0" borderId="4" xfId="0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 shrinkToFit="1"/>
    </xf>
    <xf numFmtId="0" fontId="0" fillId="0" borderId="33" xfId="0" applyBorder="1" applyAlignment="1">
      <alignment horizontal="left" vertical="center" wrapText="1" shrinkToFit="1"/>
    </xf>
    <xf numFmtId="0" fontId="0" fillId="0" borderId="34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29" xfId="0" applyBorder="1" applyAlignment="1">
      <alignment horizontal="left" vertical="center" shrinkToFi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9" xfId="0" applyBorder="1" applyAlignment="1">
      <alignment horizontal="left" vertical="center" wrapText="1" shrinkToFit="1"/>
    </xf>
    <xf numFmtId="0" fontId="0" fillId="0" borderId="30" xfId="0" applyBorder="1" applyAlignment="1">
      <alignment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5" fillId="0" borderId="10" xfId="0" applyFont="1" applyBorder="1"/>
    <xf numFmtId="0" fontId="12" fillId="0" borderId="0" xfId="0" applyFont="1"/>
    <xf numFmtId="0" fontId="0" fillId="0" borderId="1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6" xfId="0" applyBorder="1" applyAlignment="1">
      <alignment horizontal="center" vertical="top" wrapText="1"/>
    </xf>
    <xf numFmtId="0" fontId="0" fillId="0" borderId="71" xfId="0" applyBorder="1" applyAlignment="1">
      <alignment horizontal="center" vertical="top"/>
    </xf>
    <xf numFmtId="0" fontId="0" fillId="0" borderId="67" xfId="0" applyBorder="1" applyAlignment="1">
      <alignment horizontal="center" vertical="top" wrapText="1"/>
    </xf>
    <xf numFmtId="0" fontId="0" fillId="0" borderId="72" xfId="0" applyBorder="1" applyAlignment="1">
      <alignment horizontal="center" vertical="top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2" xfId="0" applyBorder="1" applyAlignment="1">
      <alignment horizontal="center" vertical="top" wrapText="1"/>
    </xf>
    <xf numFmtId="0" fontId="0" fillId="0" borderId="7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1" xfId="0" applyBorder="1" applyAlignment="1">
      <alignment horizontal="center" vertical="top" wrapText="1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452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47</xdr:row>
      <xdr:rowOff>150827</xdr:rowOff>
    </xdr:from>
    <xdr:to>
      <xdr:col>7</xdr:col>
      <xdr:colOff>657224</xdr:colOff>
      <xdr:row>51</xdr:row>
      <xdr:rowOff>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5849" y="8208977"/>
          <a:ext cx="2009775" cy="5349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RAC</a:t>
          </a:r>
          <a:r>
            <a:rPr kumimoji="1" lang="ja-JP" altLang="en-US" sz="1100"/>
            <a:t>対応新通信</a:t>
          </a:r>
          <a:endParaRPr kumimoji="1" lang="en-US" altLang="ja-JP" sz="1100"/>
        </a:p>
        <a:p>
          <a:pPr algn="ctr"/>
          <a:r>
            <a:rPr kumimoji="1" lang="ja-JP" altLang="en-US" sz="1100"/>
            <a:t>システムコントローラー</a:t>
          </a:r>
        </a:p>
      </xdr:txBody>
    </xdr:sp>
    <xdr:clientData/>
  </xdr:twoCellAnchor>
  <xdr:twoCellAnchor>
    <xdr:from>
      <xdr:col>9</xdr:col>
      <xdr:colOff>0</xdr:colOff>
      <xdr:row>47</xdr:row>
      <xdr:rowOff>161925</xdr:rowOff>
    </xdr:from>
    <xdr:to>
      <xdr:col>11</xdr:col>
      <xdr:colOff>638175</xdr:colOff>
      <xdr:row>51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10000" y="8220075"/>
          <a:ext cx="200977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室内ユニット</a:t>
          </a:r>
          <a:r>
            <a:rPr kumimoji="1" lang="en-US" altLang="ja-JP" sz="1100"/>
            <a:t>(RAC I/F)</a:t>
          </a:r>
        </a:p>
        <a:p>
          <a:pPr algn="ctr"/>
          <a:r>
            <a:rPr kumimoji="1" lang="en-US" altLang="ja-JP" sz="1100"/>
            <a:t>LC</a:t>
          </a:r>
          <a:r>
            <a:rPr kumimoji="1" lang="ja-JP" altLang="en-US" sz="1100"/>
            <a:t>モード</a:t>
          </a:r>
          <a:endParaRPr kumimoji="1" lang="en-US" altLang="ja-JP" sz="1100"/>
        </a:p>
      </xdr:txBody>
    </xdr:sp>
    <xdr:clientData/>
  </xdr:twoCellAnchor>
  <xdr:twoCellAnchor>
    <xdr:from>
      <xdr:col>6</xdr:col>
      <xdr:colOff>333377</xdr:colOff>
      <xdr:row>51</xdr:row>
      <xdr:rowOff>1</xdr:rowOff>
    </xdr:from>
    <xdr:to>
      <xdr:col>6</xdr:col>
      <xdr:colOff>338137</xdr:colOff>
      <xdr:row>81</xdr:row>
      <xdr:rowOff>57150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stCxn id="2" idx="2"/>
        </xdr:cNvCxnSpPr>
      </xdr:nvCxnSpPr>
      <xdr:spPr>
        <a:xfrm flipH="1">
          <a:off x="2085977" y="8743951"/>
          <a:ext cx="4760" cy="520064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51</xdr:row>
      <xdr:rowOff>0</xdr:rowOff>
    </xdr:from>
    <xdr:to>
      <xdr:col>10</xdr:col>
      <xdr:colOff>319087</xdr:colOff>
      <xdr:row>81</xdr:row>
      <xdr:rowOff>57150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4810125" y="2085975"/>
          <a:ext cx="4762" cy="5000625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53</xdr:row>
      <xdr:rowOff>161925</xdr:rowOff>
    </xdr:from>
    <xdr:to>
      <xdr:col>10</xdr:col>
      <xdr:colOff>304800</xdr:colOff>
      <xdr:row>53</xdr:row>
      <xdr:rowOff>161925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085975" y="2390775"/>
          <a:ext cx="271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54</xdr:row>
      <xdr:rowOff>172810</xdr:rowOff>
    </xdr:from>
    <xdr:to>
      <xdr:col>10</xdr:col>
      <xdr:colOff>314325</xdr:colOff>
      <xdr:row>54</xdr:row>
      <xdr:rowOff>172810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084614" y="3003096"/>
          <a:ext cx="2692854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59</xdr:row>
      <xdr:rowOff>0</xdr:rowOff>
    </xdr:from>
    <xdr:to>
      <xdr:col>10</xdr:col>
      <xdr:colOff>304800</xdr:colOff>
      <xdr:row>59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085975" y="3257550"/>
          <a:ext cx="271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</xdr:row>
      <xdr:rowOff>19051</xdr:rowOff>
    </xdr:from>
    <xdr:to>
      <xdr:col>5</xdr:col>
      <xdr:colOff>370305</xdr:colOff>
      <xdr:row>59</xdr:row>
      <xdr:rowOff>95251</xdr:rowOff>
    </xdr:to>
    <xdr:sp macro="" textlink="">
      <xdr:nvSpPr>
        <xdr:cNvPr id="12" name="線吹き出し 2 (枠付き)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90500" y="10477501"/>
          <a:ext cx="2122905" cy="933450"/>
        </a:xfrm>
        <a:prstGeom prst="borderCallout2">
          <a:avLst>
            <a:gd name="adj1" fmla="val 40703"/>
            <a:gd name="adj2" fmla="val 103464"/>
            <a:gd name="adj3" fmla="val 40911"/>
            <a:gd name="adj4" fmla="val 109911"/>
            <a:gd name="adj5" fmla="val 90416"/>
            <a:gd name="adj6" fmla="val 130586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対象機器が対応している</a:t>
          </a:r>
          <a:r>
            <a:rPr kumimoji="1" lang="ja-JP" altLang="en-US" sz="1000" u="none">
              <a:solidFill>
                <a:sysClr val="windowText" lastClr="000000"/>
              </a:solidFill>
            </a:rPr>
            <a:t>デバイスグループを問い合わせる</a:t>
          </a:r>
          <a:endParaRPr kumimoji="1" lang="en-US" altLang="ja-JP" sz="1000" u="none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000" u="none">
              <a:solidFill>
                <a:sysClr val="windowText" lastClr="000000"/>
              </a:solidFill>
            </a:rPr>
            <a:t>アドレス</a:t>
          </a:r>
          <a:r>
            <a:rPr kumimoji="1" lang="en-US" altLang="ja-JP" sz="1000" u="none">
              <a:solidFill>
                <a:sysClr val="windowText" lastClr="000000"/>
              </a:solidFill>
            </a:rPr>
            <a:t>64</a:t>
          </a:r>
          <a:r>
            <a:rPr kumimoji="1" lang="ja-JP" altLang="en-US" sz="1000" u="none">
              <a:solidFill>
                <a:sysClr val="windowText" lastClr="000000"/>
              </a:solidFill>
            </a:rPr>
            <a:t>以下：旧フレーム</a:t>
          </a:r>
          <a:endParaRPr kumimoji="1" lang="en-US" altLang="ja-JP" sz="1000" u="none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000" u="none">
              <a:solidFill>
                <a:sysClr val="windowText" lastClr="000000"/>
              </a:solidFill>
            </a:rPr>
            <a:t>アドレス</a:t>
          </a:r>
          <a:r>
            <a:rPr kumimoji="1" lang="en-US" altLang="ja-JP" sz="1000" u="none">
              <a:solidFill>
                <a:sysClr val="windowText" lastClr="000000"/>
              </a:solidFill>
            </a:rPr>
            <a:t>65</a:t>
          </a:r>
          <a:r>
            <a:rPr kumimoji="1" lang="ja-JP" altLang="en-US" sz="1000" u="none">
              <a:solidFill>
                <a:sysClr val="windowText" lastClr="000000"/>
              </a:solidFill>
            </a:rPr>
            <a:t>以上：新フレーム</a:t>
          </a:r>
          <a:endParaRPr kumimoji="1" lang="en-US" altLang="ja-JP" sz="1000" u="none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000" u="none">
              <a:solidFill>
                <a:sysClr val="windowText" lastClr="000000"/>
              </a:solidFill>
            </a:rPr>
            <a:t>デバイスグループ「新旧互換</a:t>
          </a:r>
          <a:r>
            <a:rPr kumimoji="1" lang="ja-JP" altLang="en-US" sz="1000">
              <a:solidFill>
                <a:sysClr val="windowText" lastClr="000000"/>
              </a:solidFill>
            </a:rPr>
            <a:t>」</a:t>
          </a:r>
        </a:p>
      </xdr:txBody>
    </xdr:sp>
    <xdr:clientData/>
  </xdr:twoCellAnchor>
  <xdr:twoCellAnchor>
    <xdr:from>
      <xdr:col>11</xdr:col>
      <xdr:colOff>619125</xdr:colOff>
      <xdr:row>67</xdr:row>
      <xdr:rowOff>123825</xdr:rowOff>
    </xdr:from>
    <xdr:to>
      <xdr:col>20</xdr:col>
      <xdr:colOff>295275</xdr:colOff>
      <xdr:row>70</xdr:row>
      <xdr:rowOff>47625</xdr:rowOff>
    </xdr:to>
    <xdr:sp macro="" textlink="">
      <xdr:nvSpPr>
        <xdr:cNvPr id="13" name="線吹き出し 2 (枠付き)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SpPr/>
      </xdr:nvSpPr>
      <xdr:spPr>
        <a:xfrm>
          <a:off x="6677025" y="10972800"/>
          <a:ext cx="6019800" cy="409575"/>
        </a:xfrm>
        <a:prstGeom prst="borderCallout2">
          <a:avLst>
            <a:gd name="adj1" fmla="val 8801"/>
            <a:gd name="adj2" fmla="val -4077"/>
            <a:gd name="adj3" fmla="val 8937"/>
            <a:gd name="adj4" fmla="val -14631"/>
            <a:gd name="adj5" fmla="val -181352"/>
            <a:gd name="adj6" fmla="val -35053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RAC</a:t>
          </a:r>
          <a:r>
            <a:rPr kumimoji="1" lang="ja-JP" altLang="en-US" sz="1000">
              <a:solidFill>
                <a:sysClr val="windowText" lastClr="000000"/>
              </a:solidFill>
            </a:rPr>
            <a:t>対応</a:t>
          </a:r>
          <a:r>
            <a:rPr kumimoji="1" lang="en-US" altLang="ja-JP" sz="1000">
              <a:solidFill>
                <a:sysClr val="windowText" lastClr="000000"/>
              </a:solidFill>
            </a:rPr>
            <a:t>bit</a:t>
          </a:r>
          <a:r>
            <a:rPr kumimoji="1" lang="ja-JP" altLang="en-US" sz="1000">
              <a:solidFill>
                <a:sysClr val="windowText" lastClr="000000"/>
              </a:solidFill>
            </a:rPr>
            <a:t>が立っていたらデバイスグループ</a:t>
          </a:r>
          <a:r>
            <a:rPr kumimoji="1" lang="en-US" altLang="ja-JP" sz="1000">
              <a:solidFill>
                <a:sysClr val="windowText" lastClr="000000"/>
              </a:solidFill>
            </a:rPr>
            <a:t>=【RAC</a:t>
          </a:r>
          <a:r>
            <a:rPr kumimoji="1" lang="ja-JP" altLang="en-US" sz="1000">
              <a:solidFill>
                <a:sysClr val="windowText" lastClr="000000"/>
              </a:solidFill>
            </a:rPr>
            <a:t>モード</a:t>
          </a:r>
          <a:r>
            <a:rPr kumimoji="1" lang="en-US" altLang="ja-JP" sz="1000">
              <a:solidFill>
                <a:sysClr val="windowText" lastClr="000000"/>
              </a:solidFill>
            </a:rPr>
            <a:t>】</a:t>
          </a:r>
          <a:r>
            <a:rPr kumimoji="1" lang="ja-JP" altLang="en-US" sz="1000">
              <a:solidFill>
                <a:sysClr val="windowText" lastClr="000000"/>
              </a:solidFill>
            </a:rPr>
            <a:t>に切り替え　</a:t>
          </a:r>
          <a:r>
            <a:rPr kumimoji="1" lang="en-US" altLang="ja-JP" sz="1000">
              <a:solidFill>
                <a:sysClr val="windowText" lastClr="000000"/>
              </a:solidFill>
            </a:rPr>
            <a:t>EEPROM</a:t>
          </a:r>
          <a:r>
            <a:rPr kumimoji="1" lang="ja-JP" altLang="en-US" sz="1000">
              <a:solidFill>
                <a:sysClr val="windowText" lastClr="000000"/>
              </a:solidFill>
            </a:rPr>
            <a:t>に保存</a:t>
          </a:r>
          <a:endParaRPr kumimoji="1" lang="en-US" altLang="ja-JP" sz="1000">
            <a:solidFill>
              <a:sysClr val="windowText" lastClr="000000"/>
            </a:solidFill>
          </a:endParaRPr>
        </a:p>
        <a:p>
          <a:pPr algn="l"/>
          <a:endParaRPr kumimoji="1" lang="ja-JP" alt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615602</xdr:colOff>
      <xdr:row>60</xdr:row>
      <xdr:rowOff>142875</xdr:rowOff>
    </xdr:from>
    <xdr:to>
      <xdr:col>15</xdr:col>
      <xdr:colOff>638175</xdr:colOff>
      <xdr:row>67</xdr:row>
      <xdr:rowOff>95250</xdr:rowOff>
    </xdr:to>
    <xdr:sp macro="" textlink="">
      <xdr:nvSpPr>
        <xdr:cNvPr id="16" name="線吹き出し 2 (枠付き)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73502" y="11630025"/>
          <a:ext cx="2765773" cy="1152525"/>
        </a:xfrm>
        <a:prstGeom prst="borderCallout2">
          <a:avLst>
            <a:gd name="adj1" fmla="val 8801"/>
            <a:gd name="adj2" fmla="val -4077"/>
            <a:gd name="adj3" fmla="val 8715"/>
            <a:gd name="adj4" fmla="val -16980"/>
            <a:gd name="adj5" fmla="val -11359"/>
            <a:gd name="adj6" fmla="val -37609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【RAC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モード時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対応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デバイスグループ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RAC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対応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bit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にして返信。</a:t>
          </a:r>
          <a:endParaRPr kumimoji="1" lang="en-US" altLang="ja-JP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旧モード時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旧フレーム要求には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Nack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、新フレーム要求には無応答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326571</xdr:colOff>
      <xdr:row>60</xdr:row>
      <xdr:rowOff>0</xdr:rowOff>
    </xdr:from>
    <xdr:to>
      <xdr:col>10</xdr:col>
      <xdr:colOff>297996</xdr:colOff>
      <xdr:row>60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068285" y="3891643"/>
          <a:ext cx="2692854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61</xdr:row>
      <xdr:rowOff>166361</xdr:rowOff>
    </xdr:from>
    <xdr:to>
      <xdr:col>5</xdr:col>
      <xdr:colOff>400051</xdr:colOff>
      <xdr:row>64</xdr:row>
      <xdr:rowOff>152400</xdr:rowOff>
    </xdr:to>
    <xdr:sp macro="" textlink="">
      <xdr:nvSpPr>
        <xdr:cNvPr id="18" name="線吹き出し 2 (枠付き)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90501" y="11824961"/>
          <a:ext cx="2152650" cy="500389"/>
        </a:xfrm>
        <a:prstGeom prst="borderCallout2">
          <a:avLst>
            <a:gd name="adj1" fmla="val 16964"/>
            <a:gd name="adj2" fmla="val 103015"/>
            <a:gd name="adj3" fmla="val 16964"/>
            <a:gd name="adj4" fmla="val 107898"/>
            <a:gd name="adj5" fmla="val -69358"/>
            <a:gd name="adj6" fmla="val 128713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デバイスグループ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RAC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に対応しているので機器＝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RAC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として認識する。</a:t>
          </a:r>
          <a:endParaRPr kumimoji="1" lang="en-US" altLang="ja-JP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615398</xdr:colOff>
      <xdr:row>52</xdr:row>
      <xdr:rowOff>61292</xdr:rowOff>
    </xdr:from>
    <xdr:to>
      <xdr:col>16</xdr:col>
      <xdr:colOff>247650</xdr:colOff>
      <xdr:row>57</xdr:row>
      <xdr:rowOff>9525</xdr:rowOff>
    </xdr:to>
    <xdr:sp macro="" textlink="">
      <xdr:nvSpPr>
        <xdr:cNvPr id="19" name="線吹き出し 2 (枠付き)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987498" y="10176842"/>
          <a:ext cx="3061252" cy="805483"/>
        </a:xfrm>
        <a:prstGeom prst="borderCallout2">
          <a:avLst>
            <a:gd name="adj1" fmla="val 8801"/>
            <a:gd name="adj2" fmla="val -4077"/>
            <a:gd name="adj3" fmla="val 9354"/>
            <a:gd name="adj4" fmla="val -17846"/>
            <a:gd name="adj5" fmla="val 57913"/>
            <a:gd name="adj6" fmla="val -32206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【RAC</a:t>
          </a:r>
          <a:r>
            <a:rPr kumimoji="1" lang="ja-JP" altLang="en-US" sz="1000">
              <a:solidFill>
                <a:sysClr val="windowText" lastClr="000000"/>
              </a:solidFill>
            </a:rPr>
            <a:t>モード時</a:t>
          </a:r>
          <a:r>
            <a:rPr kumimoji="1" lang="en-US" altLang="ja-JP" sz="1000">
              <a:solidFill>
                <a:sysClr val="windowText" lastClr="000000"/>
              </a:solidFill>
            </a:rPr>
            <a:t>】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要求が旧フレームであっても新フレームで応答する。</a:t>
          </a:r>
          <a:endParaRPr kumimoji="1" lang="en-US" altLang="ja-JP" sz="10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【</a:t>
          </a:r>
          <a:r>
            <a:rPr kumimoji="1" lang="ja-JP" altLang="en-US" sz="1000">
              <a:solidFill>
                <a:sysClr val="windowText" lastClr="000000"/>
              </a:solidFill>
            </a:rPr>
            <a:t>旧モード時</a:t>
          </a:r>
          <a:r>
            <a:rPr kumimoji="1" lang="en-US" altLang="ja-JP" sz="1000">
              <a:solidFill>
                <a:sysClr val="windowText" lastClr="000000"/>
              </a:solidFill>
            </a:rPr>
            <a:t>】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旧フレームで返す。</a:t>
          </a:r>
          <a:r>
            <a:rPr kumimoji="1" lang="en-US" altLang="ja-JP" sz="1000">
              <a:solidFill>
                <a:sysClr val="windowText" lastClr="000000"/>
              </a:solidFill>
            </a:rPr>
            <a:t>(</a:t>
          </a:r>
          <a:r>
            <a:rPr kumimoji="1" lang="ja-JP" altLang="en-US" sz="1000">
              <a:solidFill>
                <a:sysClr val="windowText" lastClr="000000"/>
              </a:solidFill>
            </a:rPr>
            <a:t>新フレームの要求には無応答</a:t>
          </a:r>
          <a:r>
            <a:rPr kumimoji="1" lang="en-US" altLang="ja-JP" sz="1000">
              <a:solidFill>
                <a:sysClr val="windowText" lastClr="000000"/>
              </a:solidFill>
            </a:rPr>
            <a:t>)</a:t>
          </a:r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15</xdr:row>
          <xdr:rowOff>51707</xdr:rowOff>
        </xdr:from>
        <xdr:to>
          <xdr:col>13</xdr:col>
          <xdr:colOff>133350</xdr:colOff>
          <xdr:row>21</xdr:row>
          <xdr:rowOff>135281</xdr:rowOff>
        </xdr:to>
        <xdr:pic>
          <xdr:nvPicPr>
            <xdr:cNvPr id="17" name="図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H$90:$AO$96" spid="_x0000_s41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6750" y="2794907"/>
              <a:ext cx="6896100" cy="111227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18</xdr:col>
      <xdr:colOff>66676</xdr:colOff>
      <xdr:row>25</xdr:row>
      <xdr:rowOff>66674</xdr:rowOff>
    </xdr:from>
    <xdr:to>
      <xdr:col>19</xdr:col>
      <xdr:colOff>497426</xdr:colOff>
      <xdr:row>38</xdr:row>
      <xdr:rowOff>28575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5176" y="4352924"/>
          <a:ext cx="1288000" cy="2190751"/>
        </a:xfrm>
        <a:prstGeom prst="rect">
          <a:avLst/>
        </a:prstGeom>
      </xdr:spPr>
    </xdr:pic>
    <xdr:clientData/>
  </xdr:twoCellAnchor>
  <xdr:twoCellAnchor>
    <xdr:from>
      <xdr:col>6</xdr:col>
      <xdr:colOff>333375</xdr:colOff>
      <xdr:row>63</xdr:row>
      <xdr:rowOff>0</xdr:rowOff>
    </xdr:from>
    <xdr:to>
      <xdr:col>10</xdr:col>
      <xdr:colOff>304800</xdr:colOff>
      <xdr:row>63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085975" y="10115550"/>
          <a:ext cx="271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326571</xdr:colOff>
      <xdr:row>64</xdr:row>
      <xdr:rowOff>0</xdr:rowOff>
    </xdr:from>
    <xdr:to>
      <xdr:col>10</xdr:col>
      <xdr:colOff>297996</xdr:colOff>
      <xdr:row>64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2079171" y="10287000"/>
          <a:ext cx="271462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9526</xdr:colOff>
      <xdr:row>70</xdr:row>
      <xdr:rowOff>57150</xdr:rowOff>
    </xdr:from>
    <xdr:to>
      <xdr:col>5</xdr:col>
      <xdr:colOff>409576</xdr:colOff>
      <xdr:row>75</xdr:row>
      <xdr:rowOff>9525</xdr:rowOff>
    </xdr:to>
    <xdr:sp macro="" textlink="">
      <xdr:nvSpPr>
        <xdr:cNvPr id="22" name="線吹き出し 2 (枠付き)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6" y="13258800"/>
          <a:ext cx="2152650" cy="809625"/>
        </a:xfrm>
        <a:prstGeom prst="borderCallout2">
          <a:avLst>
            <a:gd name="adj1" fmla="val 16964"/>
            <a:gd name="adj2" fmla="val 103015"/>
            <a:gd name="adj3" fmla="val 16964"/>
            <a:gd name="adj4" fmla="val 107898"/>
            <a:gd name="adj5" fmla="val -154844"/>
            <a:gd name="adj6" fmla="val 128086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④で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RAC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対応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bit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が立っていたら、コントローラーが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RACIF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に対して、デバイスグループを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RAC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に指定して設定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1</xdr:colOff>
      <xdr:row>75</xdr:row>
      <xdr:rowOff>85725</xdr:rowOff>
    </xdr:from>
    <xdr:to>
      <xdr:col>5</xdr:col>
      <xdr:colOff>400051</xdr:colOff>
      <xdr:row>80</xdr:row>
      <xdr:rowOff>152400</xdr:rowOff>
    </xdr:to>
    <xdr:sp macro="" textlink="">
      <xdr:nvSpPr>
        <xdr:cNvPr id="23" name="線吹き出し 2 (枠付き)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90501" y="14144625"/>
          <a:ext cx="2152650" cy="923925"/>
        </a:xfrm>
        <a:prstGeom prst="borderCallout2">
          <a:avLst>
            <a:gd name="adj1" fmla="val 16964"/>
            <a:gd name="adj2" fmla="val 103015"/>
            <a:gd name="adj3" fmla="val 16964"/>
            <a:gd name="adj4" fmla="val 107898"/>
            <a:gd name="adj5" fmla="val -80788"/>
            <a:gd name="adj6" fmla="val 131886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受信した室内種別コードにより機器判定を行う。</a:t>
          </a:r>
          <a:endParaRPr lang="en-US" altLang="ja-JP" sz="100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>
              <a:solidFill>
                <a:sysClr val="windowText" lastClr="000000"/>
              </a:solidFill>
              <a:effectLst/>
            </a:rPr>
            <a:t>80=LC(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店舗カスタム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>
              <a:solidFill>
                <a:sysClr val="windowText" lastClr="000000"/>
              </a:solidFill>
              <a:effectLst/>
            </a:rPr>
            <a:t>D0=RACIF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0</xdr:colOff>
      <xdr:row>51</xdr:row>
      <xdr:rowOff>152400</xdr:rowOff>
    </xdr:from>
    <xdr:to>
      <xdr:col>5</xdr:col>
      <xdr:colOff>371475</xdr:colOff>
      <xdr:row>53</xdr:row>
      <xdr:rowOff>47625</xdr:rowOff>
    </xdr:to>
    <xdr:sp macro="" textlink="">
      <xdr:nvSpPr>
        <xdr:cNvPr id="24" name="線吹き出し 2 (枠付き)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90500" y="10096500"/>
          <a:ext cx="2124075" cy="238125"/>
        </a:xfrm>
        <a:prstGeom prst="borderCallout2">
          <a:avLst>
            <a:gd name="adj1" fmla="val 16964"/>
            <a:gd name="adj2" fmla="val 103015"/>
            <a:gd name="adj3" fmla="val 16964"/>
            <a:gd name="adj4" fmla="val 107898"/>
            <a:gd name="adj5" fmla="val 223273"/>
            <a:gd name="adj6" fmla="val 129193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>
              <a:solidFill>
                <a:sysClr val="windowText" lastClr="000000"/>
              </a:solidFill>
              <a:effectLst/>
            </a:rPr>
            <a:t>06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コマンドの応答で新旧判定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333375</xdr:colOff>
      <xdr:row>70</xdr:row>
      <xdr:rowOff>0</xdr:rowOff>
    </xdr:from>
    <xdr:to>
      <xdr:col>10</xdr:col>
      <xdr:colOff>304800</xdr:colOff>
      <xdr:row>70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962275" y="12001500"/>
          <a:ext cx="271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326571</xdr:colOff>
      <xdr:row>71</xdr:row>
      <xdr:rowOff>0</xdr:rowOff>
    </xdr:from>
    <xdr:to>
      <xdr:col>10</xdr:col>
      <xdr:colOff>297996</xdr:colOff>
      <xdr:row>71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2955471" y="12172950"/>
          <a:ext cx="271462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628650</xdr:colOff>
      <xdr:row>70</xdr:row>
      <xdr:rowOff>85725</xdr:rowOff>
    </xdr:from>
    <xdr:to>
      <xdr:col>15</xdr:col>
      <xdr:colOff>643435</xdr:colOff>
      <xdr:row>73</xdr:row>
      <xdr:rowOff>10645</xdr:rowOff>
    </xdr:to>
    <xdr:sp macro="" textlink="">
      <xdr:nvSpPr>
        <xdr:cNvPr id="27" name="線吹き出し 2 (枠付き)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686550" y="13287375"/>
          <a:ext cx="2757985" cy="439270"/>
        </a:xfrm>
        <a:prstGeom prst="borderCallout2">
          <a:avLst>
            <a:gd name="adj1" fmla="val 8801"/>
            <a:gd name="adj2" fmla="val -4077"/>
            <a:gd name="adj3" fmla="val 8937"/>
            <a:gd name="adj4" fmla="val -14631"/>
            <a:gd name="adj5" fmla="val -252908"/>
            <a:gd name="adj6" fmla="val -35744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対応している</a:t>
          </a:r>
          <a:r>
            <a:rPr kumimoji="1" lang="en-US" altLang="ja-JP" sz="1000">
              <a:solidFill>
                <a:sysClr val="windowText" lastClr="000000"/>
              </a:solidFill>
            </a:rPr>
            <a:t>bit</a:t>
          </a:r>
          <a:r>
            <a:rPr kumimoji="1" lang="ja-JP" altLang="en-US" sz="1000">
              <a:solidFill>
                <a:sysClr val="windowText" lastClr="000000"/>
              </a:solidFill>
            </a:rPr>
            <a:t>が指定されていたら</a:t>
          </a:r>
          <a:r>
            <a:rPr kumimoji="1" lang="en-US" altLang="ja-JP" sz="1000">
              <a:solidFill>
                <a:sysClr val="windowText" lastClr="000000"/>
              </a:solidFill>
            </a:rPr>
            <a:t>Ack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対応していない</a:t>
          </a:r>
          <a:r>
            <a:rPr kumimoji="1" lang="en-US" altLang="ja-JP" sz="1000">
              <a:solidFill>
                <a:sysClr val="windowText" lastClr="000000"/>
              </a:solidFill>
            </a:rPr>
            <a:t>bit</a:t>
          </a:r>
          <a:r>
            <a:rPr kumimoji="1" lang="ja-JP" altLang="en-US" sz="1000">
              <a:solidFill>
                <a:sysClr val="windowText" lastClr="000000"/>
              </a:solidFill>
            </a:rPr>
            <a:t>が指定されていたら</a:t>
          </a:r>
          <a:r>
            <a:rPr kumimoji="1" lang="en-US" altLang="ja-JP" sz="1000">
              <a:solidFill>
                <a:sysClr val="windowText" lastClr="000000"/>
              </a:solidFill>
            </a:rPr>
            <a:t>Nack</a:t>
          </a:r>
          <a:endParaRPr kumimoji="1" lang="ja-JP" alt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638175</xdr:colOff>
      <xdr:row>73</xdr:row>
      <xdr:rowOff>57150</xdr:rowOff>
    </xdr:from>
    <xdr:to>
      <xdr:col>15</xdr:col>
      <xdr:colOff>652960</xdr:colOff>
      <xdr:row>75</xdr:row>
      <xdr:rowOff>153520</xdr:rowOff>
    </xdr:to>
    <xdr:sp macro="" textlink="">
      <xdr:nvSpPr>
        <xdr:cNvPr id="28" name="線吹き出し 2 (枠付き)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6696075" y="13773150"/>
          <a:ext cx="2757985" cy="439270"/>
        </a:xfrm>
        <a:prstGeom prst="borderCallout2">
          <a:avLst>
            <a:gd name="adj1" fmla="val 8801"/>
            <a:gd name="adj2" fmla="val -4077"/>
            <a:gd name="adj3" fmla="val 8937"/>
            <a:gd name="adj4" fmla="val -14631"/>
            <a:gd name="adj5" fmla="val -88112"/>
            <a:gd name="adj6" fmla="val -3678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旧モード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なら室内種別コード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=80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で応答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ja-JP" sz="1000">
              <a:solidFill>
                <a:sysClr val="windowText" lastClr="000000"/>
              </a:solidFill>
              <a:effectLst/>
            </a:rPr>
            <a:t>【RAC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モード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】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なら室内種別コード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=D0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で応答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43141</xdr:colOff>
      <xdr:row>12</xdr:row>
      <xdr:rowOff>179293</xdr:rowOff>
    </xdr:from>
    <xdr:to>
      <xdr:col>31</xdr:col>
      <xdr:colOff>36797</xdr:colOff>
      <xdr:row>21</xdr:row>
      <xdr:rowOff>115566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2516" y="3865468"/>
          <a:ext cx="5832481" cy="30795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942975</xdr:colOff>
      <xdr:row>0</xdr:row>
      <xdr:rowOff>28575</xdr:rowOff>
    </xdr:from>
    <xdr:to>
      <xdr:col>13</xdr:col>
      <xdr:colOff>2954750</xdr:colOff>
      <xdr:row>8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28575"/>
          <a:ext cx="4869275" cy="1419225"/>
        </a:xfrm>
        <a:prstGeom prst="rect">
          <a:avLst/>
        </a:prstGeom>
      </xdr:spPr>
    </xdr:pic>
    <xdr:clientData/>
  </xdr:twoCellAnchor>
  <xdr:twoCellAnchor>
    <xdr:from>
      <xdr:col>13</xdr:col>
      <xdr:colOff>694083</xdr:colOff>
      <xdr:row>6</xdr:row>
      <xdr:rowOff>65847</xdr:rowOff>
    </xdr:from>
    <xdr:to>
      <xdr:col>13</xdr:col>
      <xdr:colOff>1694208</xdr:colOff>
      <xdr:row>7</xdr:row>
      <xdr:rowOff>9940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2289735" y="1109456"/>
          <a:ext cx="1000125" cy="12631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942975</xdr:colOff>
      <xdr:row>0</xdr:row>
      <xdr:rowOff>28575</xdr:rowOff>
    </xdr:from>
    <xdr:to>
      <xdr:col>13</xdr:col>
      <xdr:colOff>2954750</xdr:colOff>
      <xdr:row>8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1127" y="28575"/>
          <a:ext cx="4869275" cy="1436618"/>
        </a:xfrm>
        <a:prstGeom prst="rect">
          <a:avLst/>
        </a:prstGeom>
      </xdr:spPr>
    </xdr:pic>
    <xdr:clientData/>
  </xdr:twoCellAnchor>
  <xdr:twoCellAnchor>
    <xdr:from>
      <xdr:col>13</xdr:col>
      <xdr:colOff>685800</xdr:colOff>
      <xdr:row>6</xdr:row>
      <xdr:rowOff>165238</xdr:rowOff>
    </xdr:from>
    <xdr:to>
      <xdr:col>13</xdr:col>
      <xdr:colOff>1685925</xdr:colOff>
      <xdr:row>7</xdr:row>
      <xdr:rowOff>109331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281452" y="1208847"/>
          <a:ext cx="1000125" cy="12631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67917</xdr:colOff>
          <xdr:row>14</xdr:row>
          <xdr:rowOff>53423</xdr:rowOff>
        </xdr:from>
        <xdr:to>
          <xdr:col>11</xdr:col>
          <xdr:colOff>601317</xdr:colOff>
          <xdr:row>22</xdr:row>
          <xdr:rowOff>101048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対応デバイスグループ!$C$4:$K$11" spid="_x0000_s1129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138569" y="2513358"/>
              <a:ext cx="8153400" cy="14391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98150</xdr:colOff>
      <xdr:row>23</xdr:row>
      <xdr:rowOff>86554</xdr:rowOff>
    </xdr:from>
    <xdr:to>
      <xdr:col>13</xdr:col>
      <xdr:colOff>3062425</xdr:colOff>
      <xdr:row>31</xdr:row>
      <xdr:rowOff>131694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8802" y="4111902"/>
          <a:ext cx="4869275" cy="1436618"/>
        </a:xfrm>
        <a:prstGeom prst="rect">
          <a:avLst/>
        </a:prstGeom>
      </xdr:spPr>
    </xdr:pic>
    <xdr:clientData/>
  </xdr:twoCellAnchor>
  <xdr:twoCellAnchor>
    <xdr:from>
      <xdr:col>13</xdr:col>
      <xdr:colOff>793475</xdr:colOff>
      <xdr:row>29</xdr:row>
      <xdr:rowOff>7869</xdr:rowOff>
    </xdr:from>
    <xdr:to>
      <xdr:col>13</xdr:col>
      <xdr:colOff>1793600</xdr:colOff>
      <xdr:row>29</xdr:row>
      <xdr:rowOff>134179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2389127" y="5076826"/>
          <a:ext cx="1000125" cy="12631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51352</xdr:colOff>
          <xdr:row>14</xdr:row>
          <xdr:rowOff>43484</xdr:rowOff>
        </xdr:from>
        <xdr:to>
          <xdr:col>11</xdr:col>
          <xdr:colOff>584752</xdr:colOff>
          <xdr:row>22</xdr:row>
          <xdr:rowOff>93594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対応デバイスグループ!$C$15:$K$22" spid="_x0000_s1232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122004" y="2503419"/>
              <a:ext cx="8153400" cy="144158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201686</xdr:colOff>
      <xdr:row>4</xdr:row>
      <xdr:rowOff>67235</xdr:rowOff>
    </xdr:from>
    <xdr:to>
      <xdr:col>4</xdr:col>
      <xdr:colOff>89702</xdr:colOff>
      <xdr:row>6</xdr:row>
      <xdr:rowOff>86286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73161" y="753035"/>
          <a:ext cx="1631091" cy="36195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 power on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156415</xdr:colOff>
      <xdr:row>8</xdr:row>
      <xdr:rowOff>61818</xdr:rowOff>
    </xdr:from>
    <xdr:to>
      <xdr:col>4</xdr:col>
      <xdr:colOff>44431</xdr:colOff>
      <xdr:row>11</xdr:row>
      <xdr:rowOff>121508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27890" y="1433418"/>
          <a:ext cx="1631091" cy="574040"/>
        </a:xfrm>
        <a:prstGeom prst="flowChartDecision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100946</xdr:colOff>
      <xdr:row>8</xdr:row>
      <xdr:rowOff>128494</xdr:rowOff>
    </xdr:from>
    <xdr:to>
      <xdr:col>3</xdr:col>
      <xdr:colOff>405746</xdr:colOff>
      <xdr:row>10</xdr:row>
      <xdr:rowOff>164503</xdr:rowOff>
    </xdr:to>
    <xdr:sp macro="" textlink="">
      <xdr:nvSpPr>
        <xdr:cNvPr id="4" name="テキスト ボックス 155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843896" y="1500094"/>
          <a:ext cx="990600" cy="378909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Dip switch1 bit2=ON*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4</xdr:col>
      <xdr:colOff>231346</xdr:colOff>
      <xdr:row>8</xdr:row>
      <xdr:rowOff>4033</xdr:rowOff>
    </xdr:from>
    <xdr:to>
      <xdr:col>9</xdr:col>
      <xdr:colOff>317071</xdr:colOff>
      <xdr:row>10</xdr:row>
      <xdr:rowOff>107539</xdr:rowOff>
    </xdr:to>
    <xdr:sp macro="" textlink="">
      <xdr:nvSpPr>
        <xdr:cNvPr id="5" name="テキスト ボックス 155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2345896" y="1375633"/>
          <a:ext cx="3514725" cy="446406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ts val="1200"/>
            </a:lnSpc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*Auto LC/RAC switch mode / Manual mode    (ON=Manual, OFF=Auto)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649475</xdr:colOff>
      <xdr:row>10</xdr:row>
      <xdr:rowOff>4669</xdr:rowOff>
    </xdr:from>
    <xdr:to>
      <xdr:col>8</xdr:col>
      <xdr:colOff>438823</xdr:colOff>
      <xdr:row>12</xdr:row>
      <xdr:rowOff>68804</xdr:rowOff>
    </xdr:to>
    <xdr:cxnSp macro="">
      <xdr:nvCxnSpPr>
        <xdr:cNvPr id="6" name="カギ線コネクタ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2078225" y="1719169"/>
          <a:ext cx="3218348" cy="407035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3</xdr:col>
      <xdr:colOff>647570</xdr:colOff>
      <xdr:row>8</xdr:row>
      <xdr:rowOff>120874</xdr:rowOff>
    </xdr:from>
    <xdr:to>
      <xdr:col>4</xdr:col>
      <xdr:colOff>274526</xdr:colOff>
      <xdr:row>10</xdr:row>
      <xdr:rowOff>113889</xdr:rowOff>
    </xdr:to>
    <xdr:sp macro="" textlink="">
      <xdr:nvSpPr>
        <xdr:cNvPr id="7" name="テキスト ボックス 154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076320" y="1492474"/>
          <a:ext cx="312756" cy="335915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272396</xdr:colOff>
      <xdr:row>11</xdr:row>
      <xdr:rowOff>80868</xdr:rowOff>
    </xdr:from>
    <xdr:to>
      <xdr:col>2</xdr:col>
      <xdr:colOff>580670</xdr:colOff>
      <xdr:row>13</xdr:row>
      <xdr:rowOff>9113</xdr:rowOff>
    </xdr:to>
    <xdr:sp macro="" textlink="">
      <xdr:nvSpPr>
        <xdr:cNvPr id="8" name="テキスト ボックス 1545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015346" y="1966818"/>
          <a:ext cx="308274" cy="271145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N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162593</xdr:colOff>
      <xdr:row>27</xdr:row>
      <xdr:rowOff>100767</xdr:rowOff>
    </xdr:from>
    <xdr:to>
      <xdr:col>4</xdr:col>
      <xdr:colOff>50609</xdr:colOff>
      <xdr:row>30</xdr:row>
      <xdr:rowOff>165552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534068" y="4729917"/>
          <a:ext cx="1631091" cy="579135"/>
        </a:xfrm>
        <a:prstGeom prst="flowChartDecision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91884</xdr:colOff>
      <xdr:row>27</xdr:row>
      <xdr:rowOff>163010</xdr:rowOff>
    </xdr:from>
    <xdr:to>
      <xdr:col>3</xdr:col>
      <xdr:colOff>396684</xdr:colOff>
      <xdr:row>30</xdr:row>
      <xdr:rowOff>25838</xdr:rowOff>
    </xdr:to>
    <xdr:sp macro="" textlink="">
      <xdr:nvSpPr>
        <xdr:cNvPr id="10" name="テキスト ボックス 155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834834" y="4792160"/>
          <a:ext cx="990600" cy="377178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Address &gt; 64</a:t>
          </a:r>
        </a:p>
      </xdr:txBody>
    </xdr:sp>
    <xdr:clientData/>
  </xdr:twoCellAnchor>
  <xdr:twoCellAnchor>
    <xdr:from>
      <xdr:col>4</xdr:col>
      <xdr:colOff>50609</xdr:colOff>
      <xdr:row>29</xdr:row>
      <xdr:rowOff>44713</xdr:rowOff>
    </xdr:from>
    <xdr:to>
      <xdr:col>5</xdr:col>
      <xdr:colOff>128504</xdr:colOff>
      <xdr:row>30</xdr:row>
      <xdr:rowOff>52417</xdr:rowOff>
    </xdr:to>
    <xdr:cxnSp macro="">
      <xdr:nvCxnSpPr>
        <xdr:cNvPr id="11" name="カギ線コネクタ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>
          <a:stCxn id="9" idx="3"/>
          <a:endCxn id="12" idx="0"/>
        </xdr:cNvCxnSpPr>
      </xdr:nvCxnSpPr>
      <xdr:spPr>
        <a:xfrm>
          <a:off x="2165159" y="5016763"/>
          <a:ext cx="763695" cy="179154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147679</xdr:colOff>
      <xdr:row>30</xdr:row>
      <xdr:rowOff>52417</xdr:rowOff>
    </xdr:from>
    <xdr:to>
      <xdr:col>6</xdr:col>
      <xdr:colOff>109328</xdr:colOff>
      <xdr:row>32</xdr:row>
      <xdr:rowOff>113940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2262229" y="5195917"/>
          <a:ext cx="1333249" cy="404423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Set RAC mode</a:t>
          </a: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(Write</a:t>
          </a:r>
          <a:r>
            <a:rPr lang="en-US" sz="1050" kern="1200" baseline="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 EEPROM</a:t>
          </a:r>
          <a:r>
            <a:rPr lang="en-US" altLang="ja-JP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)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605263</xdr:colOff>
      <xdr:row>30</xdr:row>
      <xdr:rowOff>165552</xdr:rowOff>
    </xdr:from>
    <xdr:to>
      <xdr:col>2</xdr:col>
      <xdr:colOff>605319</xdr:colOff>
      <xdr:row>33</xdr:row>
      <xdr:rowOff>102635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>
          <a:stCxn id="9" idx="2"/>
          <a:endCxn id="18" idx="0"/>
        </xdr:cNvCxnSpPr>
      </xdr:nvCxnSpPr>
      <xdr:spPr>
        <a:xfrm>
          <a:off x="1348213" y="5309052"/>
          <a:ext cx="56" cy="4514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597084</xdr:colOff>
      <xdr:row>11</xdr:row>
      <xdr:rowOff>121508</xdr:rowOff>
    </xdr:from>
    <xdr:to>
      <xdr:col>2</xdr:col>
      <xdr:colOff>603955</xdr:colOff>
      <xdr:row>19</xdr:row>
      <xdr:rowOff>1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>
          <a:stCxn id="3" idx="2"/>
          <a:endCxn id="79" idx="0"/>
        </xdr:cNvCxnSpPr>
      </xdr:nvCxnSpPr>
      <xdr:spPr>
        <a:xfrm>
          <a:off x="1340034" y="2007458"/>
          <a:ext cx="6871" cy="12500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26479</xdr:colOff>
      <xdr:row>27</xdr:row>
      <xdr:rowOff>159835</xdr:rowOff>
    </xdr:from>
    <xdr:to>
      <xdr:col>4</xdr:col>
      <xdr:colOff>336994</xdr:colOff>
      <xdr:row>29</xdr:row>
      <xdr:rowOff>152852</xdr:rowOff>
    </xdr:to>
    <xdr:sp macro="" textlink="">
      <xdr:nvSpPr>
        <xdr:cNvPr id="15" name="テキスト ボックス 1549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2141029" y="4788985"/>
          <a:ext cx="310515" cy="335917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245554</xdr:colOff>
      <xdr:row>30</xdr:row>
      <xdr:rowOff>116643</xdr:rowOff>
    </xdr:from>
    <xdr:to>
      <xdr:col>2</xdr:col>
      <xdr:colOff>553828</xdr:colOff>
      <xdr:row>32</xdr:row>
      <xdr:rowOff>44889</xdr:rowOff>
    </xdr:to>
    <xdr:sp macro="" textlink="">
      <xdr:nvSpPr>
        <xdr:cNvPr id="16" name="テキスト ボックス 154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988504" y="5260143"/>
          <a:ext cx="308274" cy="271146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N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603807</xdr:colOff>
      <xdr:row>36</xdr:row>
      <xdr:rowOff>54562</xdr:rowOff>
    </xdr:from>
    <xdr:to>
      <xdr:col>2</xdr:col>
      <xdr:colOff>605319</xdr:colOff>
      <xdr:row>41</xdr:row>
      <xdr:rowOff>149751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>
          <a:stCxn id="18" idx="2"/>
          <a:endCxn id="21" idx="0"/>
        </xdr:cNvCxnSpPr>
      </xdr:nvCxnSpPr>
      <xdr:spPr>
        <a:xfrm flipH="1">
          <a:off x="1346757" y="6226762"/>
          <a:ext cx="1512" cy="9524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307746</xdr:colOff>
      <xdr:row>33</xdr:row>
      <xdr:rowOff>102635</xdr:rowOff>
    </xdr:from>
    <xdr:to>
      <xdr:col>3</xdr:col>
      <xdr:colOff>589126</xdr:colOff>
      <xdr:row>36</xdr:row>
      <xdr:rowOff>54562</xdr:rowOff>
    </xdr:to>
    <xdr:sp macro="" textlink="">
      <xdr:nvSpPr>
        <xdr:cNvPr id="18" name="フローチャート: 処理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679221" y="5760485"/>
          <a:ext cx="1338655" cy="466277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Set Uncertain</a:t>
          </a:r>
          <a:r>
            <a:rPr lang="en-US" sz="1050" kern="1200" baseline="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 </a:t>
          </a: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85937</xdr:colOff>
      <xdr:row>40</xdr:row>
      <xdr:rowOff>135853</xdr:rowOff>
    </xdr:from>
    <xdr:to>
      <xdr:col>2</xdr:col>
      <xdr:colOff>590201</xdr:colOff>
      <xdr:row>40</xdr:row>
      <xdr:rowOff>135853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457412" y="6993853"/>
          <a:ext cx="8757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81643</xdr:colOff>
      <xdr:row>40</xdr:row>
      <xdr:rowOff>136072</xdr:rowOff>
    </xdr:from>
    <xdr:to>
      <xdr:col>2</xdr:col>
      <xdr:colOff>585111</xdr:colOff>
      <xdr:row>104</xdr:row>
      <xdr:rowOff>136077</xdr:rowOff>
    </xdr:to>
    <xdr:cxnSp macro="">
      <xdr:nvCxnSpPr>
        <xdr:cNvPr id="20" name="カギ線コネクタ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 rot="16200000" flipV="1">
          <a:off x="-4595813" y="12043003"/>
          <a:ext cx="10972805" cy="874943"/>
        </a:xfrm>
        <a:prstGeom prst="bentConnector3">
          <a:avLst>
            <a:gd name="adj1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161977</xdr:colOff>
      <xdr:row>41</xdr:row>
      <xdr:rowOff>149751</xdr:rowOff>
    </xdr:from>
    <xdr:to>
      <xdr:col>4</xdr:col>
      <xdr:colOff>48312</xdr:colOff>
      <xdr:row>45</xdr:row>
      <xdr:rowOff>156737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533452" y="7179201"/>
          <a:ext cx="1629410" cy="692786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352478</xdr:colOff>
      <xdr:row>42</xdr:row>
      <xdr:rowOff>88628</xdr:rowOff>
    </xdr:from>
    <xdr:to>
      <xdr:col>3</xdr:col>
      <xdr:colOff>579883</xdr:colOff>
      <xdr:row>44</xdr:row>
      <xdr:rowOff>141348</xdr:rowOff>
    </xdr:to>
    <xdr:sp macro="" textlink="">
      <xdr:nvSpPr>
        <xdr:cNvPr id="22" name="テキスト ボックス 155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723953" y="7289528"/>
          <a:ext cx="1284680" cy="39562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 receive command 0x2F(</a:t>
          </a:r>
          <a:r>
            <a:rPr lang="ja-JP" alt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要求</a:t>
          </a:r>
          <a:r>
            <a:rPr lang="en-US" altLang="ja-JP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)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4</xdr:col>
      <xdr:colOff>48312</xdr:colOff>
      <xdr:row>43</xdr:row>
      <xdr:rowOff>153244</xdr:rowOff>
    </xdr:from>
    <xdr:to>
      <xdr:col>6</xdr:col>
      <xdr:colOff>193772</xdr:colOff>
      <xdr:row>46</xdr:row>
      <xdr:rowOff>32599</xdr:rowOff>
    </xdr:to>
    <xdr:cxnSp macro="">
      <xdr:nvCxnSpPr>
        <xdr:cNvPr id="23" name="カギ線コネクタ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>
          <a:stCxn id="21" idx="3"/>
          <a:endCxn id="24" idx="0"/>
        </xdr:cNvCxnSpPr>
      </xdr:nvCxnSpPr>
      <xdr:spPr>
        <a:xfrm>
          <a:off x="2162862" y="7525594"/>
          <a:ext cx="1517060" cy="39370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70291</xdr:colOff>
      <xdr:row>46</xdr:row>
      <xdr:rowOff>32599</xdr:rowOff>
    </xdr:from>
    <xdr:to>
      <xdr:col>7</xdr:col>
      <xdr:colOff>317253</xdr:colOff>
      <xdr:row>50</xdr:row>
      <xdr:rowOff>39585</xdr:rowOff>
    </xdr:to>
    <xdr:sp macro="" textlink="">
      <xdr:nvSpPr>
        <xdr:cNvPr id="24" name="フローチャート: 判断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2870641" y="7919299"/>
          <a:ext cx="1618562" cy="692786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229212</xdr:colOff>
      <xdr:row>46</xdr:row>
      <xdr:rowOff>149751</xdr:rowOff>
    </xdr:from>
    <xdr:to>
      <xdr:col>7</xdr:col>
      <xdr:colOff>142853</xdr:colOff>
      <xdr:row>49</xdr:row>
      <xdr:rowOff>24195</xdr:rowOff>
    </xdr:to>
    <xdr:sp macro="" textlink="">
      <xdr:nvSpPr>
        <xdr:cNvPr id="25" name="テキスト ボックス 155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3029562" y="8036451"/>
          <a:ext cx="1285241" cy="388794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 =</a:t>
          </a:r>
          <a:r>
            <a:rPr lang="en-US" sz="1050" kern="1200" baseline="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 </a:t>
          </a:r>
          <a:r>
            <a:rPr lang="en-US" altLang="ja-JP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9</xdr:col>
      <xdr:colOff>42716</xdr:colOff>
      <xdr:row>50</xdr:row>
      <xdr:rowOff>43806</xdr:rowOff>
    </xdr:from>
    <xdr:to>
      <xdr:col>11</xdr:col>
      <xdr:colOff>10331</xdr:colOff>
      <xdr:row>52</xdr:row>
      <xdr:rowOff>69017</xdr:rowOff>
    </xdr:to>
    <xdr:sp macro="" textlink="">
      <xdr:nvSpPr>
        <xdr:cNvPr id="26" name="フローチャート: 処理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5586266" y="8616306"/>
          <a:ext cx="1339215" cy="368111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Reply 2F</a:t>
          </a:r>
          <a:endParaRPr lang="en-US" sz="1050" kern="1200">
            <a:solidFill>
              <a:schemeClr val="bg1"/>
            </a:solidFill>
            <a:effectLst/>
            <a:latin typeface="Meiryo UI" panose="020B060403050404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(TU2C-LINK</a:t>
          </a:r>
          <a:r>
            <a:rPr lang="en-US" altLang="ja-JP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)</a:t>
          </a:r>
          <a:endParaRPr lang="en-US" sz="1200">
            <a:solidFill>
              <a:schemeClr val="bg1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61123</xdr:colOff>
      <xdr:row>53</xdr:row>
      <xdr:rowOff>43805</xdr:rowOff>
    </xdr:from>
    <xdr:to>
      <xdr:col>7</xdr:col>
      <xdr:colOff>317253</xdr:colOff>
      <xdr:row>57</xdr:row>
      <xdr:rowOff>50789</xdr:rowOff>
    </xdr:to>
    <xdr:sp macro="" textlink="">
      <xdr:nvSpPr>
        <xdr:cNvPr id="27" name="フローチャート: 判断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1473" y="9130655"/>
          <a:ext cx="1627730" cy="692784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251624</xdr:colOff>
      <xdr:row>53</xdr:row>
      <xdr:rowOff>167069</xdr:rowOff>
    </xdr:from>
    <xdr:to>
      <xdr:col>7</xdr:col>
      <xdr:colOff>165265</xdr:colOff>
      <xdr:row>56</xdr:row>
      <xdr:rowOff>46605</xdr:rowOff>
    </xdr:to>
    <xdr:sp macro="" textlink="">
      <xdr:nvSpPr>
        <xdr:cNvPr id="28" name="テキスト ボックス 155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3051974" y="9253919"/>
          <a:ext cx="1285241" cy="393886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</a:t>
          </a:r>
          <a:r>
            <a:rPr lang="ja-JP" altLang="en-US" sz="1050" kern="1200" baseline="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 </a:t>
          </a:r>
          <a:r>
            <a:rPr lang="en-US" altLang="ja-JP" sz="1050" kern="1200" baseline="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=</a:t>
          </a:r>
          <a:r>
            <a:rPr lang="en-US" altLang="ja-JP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LC 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251625</xdr:colOff>
      <xdr:row>57</xdr:row>
      <xdr:rowOff>145676</xdr:rowOff>
    </xdr:from>
    <xdr:to>
      <xdr:col>9</xdr:col>
      <xdr:colOff>219240</xdr:colOff>
      <xdr:row>59</xdr:row>
      <xdr:rowOff>141345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423575" y="9918326"/>
          <a:ext cx="1339215" cy="338569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Reply NACK</a:t>
          </a:r>
          <a:endParaRPr lang="en-US" sz="1050" kern="1200">
            <a:solidFill>
              <a:schemeClr val="bg1"/>
            </a:solidFill>
            <a:effectLst/>
            <a:latin typeface="Meiryo UI" panose="020B060403050404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(TCC-LINK</a:t>
          </a:r>
          <a:r>
            <a:rPr lang="en-US" altLang="ja-JP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)</a:t>
          </a:r>
          <a:endParaRPr lang="en-US" sz="1200">
            <a:solidFill>
              <a:schemeClr val="bg1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6</xdr:col>
      <xdr:colOff>215969</xdr:colOff>
      <xdr:row>64</xdr:row>
      <xdr:rowOff>71308</xdr:rowOff>
    </xdr:from>
    <xdr:to>
      <xdr:col>8</xdr:col>
      <xdr:colOff>67235</xdr:colOff>
      <xdr:row>66</xdr:row>
      <xdr:rowOff>123265</xdr:rowOff>
    </xdr:to>
    <xdr:sp macro="" textlink="">
      <xdr:nvSpPr>
        <xdr:cNvPr id="30" name="テキスト ボックス 1551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3702119" y="11044108"/>
          <a:ext cx="1222866" cy="394857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>
            <a:lnSpc>
              <a:spcPts val="1200"/>
            </a:lnSpc>
            <a:spcAft>
              <a:spcPts val="0"/>
            </a:spcAft>
          </a:pPr>
          <a:r>
            <a:rPr lang="en-US" altLang="ja-JP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※ </a:t>
          </a:r>
          <a:r>
            <a:rPr 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</a:t>
          </a:r>
          <a:r>
            <a:rPr lang="ja-JP" alt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が未確定モードのため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198396</xdr:colOff>
      <xdr:row>62</xdr:row>
      <xdr:rowOff>21393</xdr:rowOff>
    </xdr:from>
    <xdr:to>
      <xdr:col>7</xdr:col>
      <xdr:colOff>166012</xdr:colOff>
      <xdr:row>64</xdr:row>
      <xdr:rowOff>46606</xdr:rowOff>
    </xdr:to>
    <xdr:sp macro="" textlink="">
      <xdr:nvSpPr>
        <xdr:cNvPr id="31" name="フローチャート: 処理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2998746" y="10651293"/>
          <a:ext cx="1339216" cy="368113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Reply 2F</a:t>
          </a:r>
          <a:r>
            <a:rPr lang="en-US" sz="1050" kern="1200" baseline="300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*</a:t>
          </a:r>
          <a:endParaRPr lang="en-US" sz="1050" kern="1200" baseline="30000">
            <a:solidFill>
              <a:schemeClr val="bg1"/>
            </a:solidFill>
            <a:effectLst/>
            <a:latin typeface="Meiryo UI" panose="020B060403050404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(TCC-LINK</a:t>
          </a:r>
          <a:r>
            <a:rPr lang="en-US" altLang="ja-JP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)</a:t>
          </a:r>
          <a:endParaRPr lang="en-US" sz="1200">
            <a:solidFill>
              <a:schemeClr val="bg1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153080</xdr:colOff>
      <xdr:row>72</xdr:row>
      <xdr:rowOff>47625</xdr:rowOff>
    </xdr:from>
    <xdr:to>
      <xdr:col>4</xdr:col>
      <xdr:colOff>42617</xdr:colOff>
      <xdr:row>76</xdr:row>
      <xdr:rowOff>54611</xdr:rowOff>
    </xdr:to>
    <xdr:sp macro="" textlink="">
      <xdr:nvSpPr>
        <xdr:cNvPr id="32" name="フローチャート: 判断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524555" y="12392025"/>
          <a:ext cx="1632612" cy="692786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321169</xdr:colOff>
      <xdr:row>72</xdr:row>
      <xdr:rowOff>169889</xdr:rowOff>
    </xdr:from>
    <xdr:to>
      <xdr:col>3</xdr:col>
      <xdr:colOff>548574</xdr:colOff>
      <xdr:row>75</xdr:row>
      <xdr:rowOff>40622</xdr:rowOff>
    </xdr:to>
    <xdr:sp macro="" textlink="">
      <xdr:nvSpPr>
        <xdr:cNvPr id="33" name="テキスト ボックス 155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692644" y="12514289"/>
          <a:ext cx="1284680" cy="385083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 receive command 0x2F(</a:t>
          </a:r>
          <a:r>
            <a:rPr lang="ja-JP" alt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設定</a:t>
          </a:r>
          <a:r>
            <a:rPr lang="en-US" altLang="ja-JP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)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71437</xdr:colOff>
      <xdr:row>76</xdr:row>
      <xdr:rowOff>44222</xdr:rowOff>
    </xdr:from>
    <xdr:to>
      <xdr:col>7</xdr:col>
      <xdr:colOff>327566</xdr:colOff>
      <xdr:row>80</xdr:row>
      <xdr:rowOff>51207</xdr:rowOff>
    </xdr:to>
    <xdr:sp macro="" textlink="">
      <xdr:nvSpPr>
        <xdr:cNvPr id="34" name="フローチャート: 判断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2871787" y="13074422"/>
          <a:ext cx="1627729" cy="692785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239526</xdr:colOff>
      <xdr:row>76</xdr:row>
      <xdr:rowOff>166486</xdr:rowOff>
    </xdr:from>
    <xdr:to>
      <xdr:col>7</xdr:col>
      <xdr:colOff>153166</xdr:colOff>
      <xdr:row>79</xdr:row>
      <xdr:rowOff>37218</xdr:rowOff>
    </xdr:to>
    <xdr:sp macro="" textlink="">
      <xdr:nvSpPr>
        <xdr:cNvPr id="35" name="テキスト ボックス 155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3039876" y="13196686"/>
          <a:ext cx="1285240" cy="385082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</a:t>
          </a:r>
          <a:r>
            <a:rPr lang="ja-JP" altLang="en-US" sz="1050" kern="1200" baseline="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 </a:t>
          </a:r>
          <a:r>
            <a:rPr lang="en-US" altLang="ja-JP" sz="1050" kern="1200" baseline="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= </a:t>
          </a:r>
          <a:r>
            <a:rPr lang="en-US" altLang="ja-JP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9</xdr:col>
      <xdr:colOff>26615</xdr:colOff>
      <xdr:row>80</xdr:row>
      <xdr:rowOff>34417</xdr:rowOff>
    </xdr:from>
    <xdr:to>
      <xdr:col>10</xdr:col>
      <xdr:colOff>674587</xdr:colOff>
      <xdr:row>82</xdr:row>
      <xdr:rowOff>58229</xdr:rowOff>
    </xdr:to>
    <xdr:sp macro="" textlink="">
      <xdr:nvSpPr>
        <xdr:cNvPr id="36" name="フローチャート: 処理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570165" y="13750417"/>
          <a:ext cx="1333772" cy="366712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Reply ack</a:t>
          </a:r>
          <a:endParaRPr lang="en-US" sz="1050" kern="1200">
            <a:solidFill>
              <a:schemeClr val="bg1"/>
            </a:solidFill>
            <a:effectLst/>
            <a:latin typeface="Meiryo UI" panose="020B060403050404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(TU2C-LINK)</a:t>
          </a:r>
        </a:p>
      </xdr:txBody>
    </xdr:sp>
    <xdr:clientData/>
  </xdr:twoCellAnchor>
  <xdr:twoCellAnchor>
    <xdr:from>
      <xdr:col>5</xdr:col>
      <xdr:colOff>65834</xdr:colOff>
      <xdr:row>83</xdr:row>
      <xdr:rowOff>16208</xdr:rowOff>
    </xdr:from>
    <xdr:to>
      <xdr:col>7</xdr:col>
      <xdr:colOff>321964</xdr:colOff>
      <xdr:row>87</xdr:row>
      <xdr:rowOff>23192</xdr:rowOff>
    </xdr:to>
    <xdr:sp macro="" textlink="">
      <xdr:nvSpPr>
        <xdr:cNvPr id="37" name="フローチャート: 判断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866184" y="14246558"/>
          <a:ext cx="1627730" cy="692784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233923</xdr:colOff>
      <xdr:row>83</xdr:row>
      <xdr:rowOff>137072</xdr:rowOff>
    </xdr:from>
    <xdr:to>
      <xdr:col>7</xdr:col>
      <xdr:colOff>147564</xdr:colOff>
      <xdr:row>86</xdr:row>
      <xdr:rowOff>7803</xdr:rowOff>
    </xdr:to>
    <xdr:sp macro="" textlink="">
      <xdr:nvSpPr>
        <xdr:cNvPr id="38" name="テキスト ボックス 1551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3034273" y="14367422"/>
          <a:ext cx="1285241" cy="385081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RAC IF</a:t>
          </a:r>
          <a:r>
            <a:rPr lang="ja-JP" altLang="en-US" sz="1050" kern="1200" baseline="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 </a:t>
          </a:r>
          <a:r>
            <a:rPr lang="en-US" altLang="ja-JP" sz="1050" kern="1200" baseline="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= </a:t>
          </a:r>
          <a:r>
            <a:rPr lang="en-US" altLang="ja-JP" sz="1050" kern="1200">
              <a:solidFill>
                <a:srgbClr val="000000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LC 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295553</xdr:colOff>
      <xdr:row>88</xdr:row>
      <xdr:rowOff>46426</xdr:rowOff>
    </xdr:from>
    <xdr:to>
      <xdr:col>9</xdr:col>
      <xdr:colOff>263168</xdr:colOff>
      <xdr:row>90</xdr:row>
      <xdr:rowOff>71638</xdr:rowOff>
    </xdr:to>
    <xdr:sp macro="" textlink="">
      <xdr:nvSpPr>
        <xdr:cNvPr id="39" name="フローチャート: 処理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4467503" y="15134026"/>
          <a:ext cx="1339215" cy="368112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Reply</a:t>
          </a:r>
          <a:r>
            <a:rPr lang="en-US" sz="1050" kern="1200" baseline="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 Nack</a:t>
          </a:r>
          <a:endParaRPr lang="en-US" sz="1050" kern="1200">
            <a:solidFill>
              <a:schemeClr val="bg1"/>
            </a:solidFill>
            <a:effectLst/>
            <a:latin typeface="Meiryo UI" panose="020B060403050404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(TCC-LINK)</a:t>
          </a:r>
        </a:p>
      </xdr:txBody>
    </xdr:sp>
    <xdr:clientData/>
  </xdr:twoCellAnchor>
  <xdr:twoCellAnchor>
    <xdr:from>
      <xdr:col>5</xdr:col>
      <xdr:colOff>209109</xdr:colOff>
      <xdr:row>97</xdr:row>
      <xdr:rowOff>16808</xdr:rowOff>
    </xdr:from>
    <xdr:to>
      <xdr:col>7</xdr:col>
      <xdr:colOff>176725</xdr:colOff>
      <xdr:row>99</xdr:row>
      <xdr:rowOff>42021</xdr:rowOff>
    </xdr:to>
    <xdr:sp macro="" textlink="">
      <xdr:nvSpPr>
        <xdr:cNvPr id="40" name="フローチャート: 処理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3009459" y="16647458"/>
          <a:ext cx="1339216" cy="368113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Reply ack</a:t>
          </a:r>
          <a:endParaRPr lang="en-US" sz="1050" kern="1200">
            <a:solidFill>
              <a:schemeClr val="bg1"/>
            </a:solidFill>
            <a:effectLst/>
            <a:latin typeface="Meiryo UI" panose="020B060403050404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200">
              <a:solidFill>
                <a:schemeClr val="bg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(TU2C-LINK)</a:t>
          </a:r>
        </a:p>
      </xdr:txBody>
    </xdr:sp>
    <xdr:clientData/>
  </xdr:twoCellAnchor>
  <xdr:twoCellAnchor>
    <xdr:from>
      <xdr:col>5</xdr:col>
      <xdr:colOff>211509</xdr:colOff>
      <xdr:row>90</xdr:row>
      <xdr:rowOff>166687</xdr:rowOff>
    </xdr:from>
    <xdr:to>
      <xdr:col>7</xdr:col>
      <xdr:colOff>179125</xdr:colOff>
      <xdr:row>93</xdr:row>
      <xdr:rowOff>37418</xdr:rowOff>
    </xdr:to>
    <xdr:sp macro="" textlink="">
      <xdr:nvSpPr>
        <xdr:cNvPr id="41" name="フローチャート: 処理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3011859" y="15597187"/>
          <a:ext cx="1339216" cy="385081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ea typeface="ＭＳ Ｐゴシック" panose="020B0600070205080204" pitchFamily="50" charset="-128"/>
              <a:cs typeface="ＭＳ Ｐゴシック" panose="020B0600070205080204" pitchFamily="50" charset="-128"/>
            </a:rPr>
            <a:t>Set RAC mode</a:t>
          </a: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(Write EEPROM)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605118</xdr:colOff>
      <xdr:row>6</xdr:row>
      <xdr:rowOff>78441</xdr:rowOff>
    </xdr:from>
    <xdr:to>
      <xdr:col>2</xdr:col>
      <xdr:colOff>605118</xdr:colOff>
      <xdr:row>8</xdr:row>
      <xdr:rowOff>59391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CxnSpPr/>
      </xdr:nvCxnSpPr>
      <xdr:spPr>
        <a:xfrm>
          <a:off x="1348068" y="1107141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78441</xdr:colOff>
      <xdr:row>42</xdr:row>
      <xdr:rowOff>11205</xdr:rowOff>
    </xdr:from>
    <xdr:to>
      <xdr:col>4</xdr:col>
      <xdr:colOff>388956</xdr:colOff>
      <xdr:row>44</xdr:row>
      <xdr:rowOff>4222</xdr:rowOff>
    </xdr:to>
    <xdr:sp macro="" textlink="">
      <xdr:nvSpPr>
        <xdr:cNvPr id="43" name="テキスト ボックス 1549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2192991" y="7212105"/>
          <a:ext cx="310515" cy="335917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317253</xdr:colOff>
      <xdr:row>48</xdr:row>
      <xdr:rowOff>36092</xdr:rowOff>
    </xdr:from>
    <xdr:to>
      <xdr:col>10</xdr:col>
      <xdr:colOff>26524</xdr:colOff>
      <xdr:row>50</xdr:row>
      <xdr:rowOff>43806</xdr:rowOff>
    </xdr:to>
    <xdr:cxnSp macro="">
      <xdr:nvCxnSpPr>
        <xdr:cNvPr id="44" name="カギ線コネクタ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>
          <a:stCxn id="24" idx="3"/>
          <a:endCxn id="26" idx="0"/>
        </xdr:cNvCxnSpPr>
      </xdr:nvCxnSpPr>
      <xdr:spPr>
        <a:xfrm>
          <a:off x="4489203" y="8265692"/>
          <a:ext cx="1766671" cy="35061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612322</xdr:colOff>
      <xdr:row>52</xdr:row>
      <xdr:rowOff>69016</xdr:rowOff>
    </xdr:from>
    <xdr:to>
      <xdr:col>10</xdr:col>
      <xdr:colOff>26525</xdr:colOff>
      <xdr:row>71</xdr:row>
      <xdr:rowOff>27213</xdr:rowOff>
    </xdr:to>
    <xdr:cxnSp macro="">
      <xdr:nvCxnSpPr>
        <xdr:cNvPr id="45" name="カギ線コネクタ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>
          <a:stCxn id="26" idx="2"/>
        </xdr:cNvCxnSpPr>
      </xdr:nvCxnSpPr>
      <xdr:spPr>
        <a:xfrm rot="5400000">
          <a:off x="2197700" y="8141988"/>
          <a:ext cx="3215747" cy="490060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595424</xdr:colOff>
      <xdr:row>46</xdr:row>
      <xdr:rowOff>0</xdr:rowOff>
    </xdr:from>
    <xdr:to>
      <xdr:col>2</xdr:col>
      <xdr:colOff>595424</xdr:colOff>
      <xdr:row>72</xdr:row>
      <xdr:rowOff>33617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/>
      </xdr:nvCxnSpPr>
      <xdr:spPr>
        <a:xfrm>
          <a:off x="1338374" y="7886700"/>
          <a:ext cx="0" cy="44913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313764</xdr:colOff>
      <xdr:row>46</xdr:row>
      <xdr:rowOff>100853</xdr:rowOff>
    </xdr:from>
    <xdr:to>
      <xdr:col>7</xdr:col>
      <xdr:colOff>624279</xdr:colOff>
      <xdr:row>48</xdr:row>
      <xdr:rowOff>93870</xdr:rowOff>
    </xdr:to>
    <xdr:sp macro="" textlink="">
      <xdr:nvSpPr>
        <xdr:cNvPr id="47" name="テキスト ボックス 1549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4485714" y="7987553"/>
          <a:ext cx="310515" cy="335917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317253</xdr:colOff>
      <xdr:row>55</xdr:row>
      <xdr:rowOff>47297</xdr:rowOff>
    </xdr:from>
    <xdr:to>
      <xdr:col>8</xdr:col>
      <xdr:colOff>235433</xdr:colOff>
      <xdr:row>57</xdr:row>
      <xdr:rowOff>145676</xdr:rowOff>
    </xdr:to>
    <xdr:cxnSp macro="">
      <xdr:nvCxnSpPr>
        <xdr:cNvPr id="48" name="カギ線コネクタ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>
          <a:stCxn id="27" idx="3"/>
          <a:endCxn id="29" idx="0"/>
        </xdr:cNvCxnSpPr>
      </xdr:nvCxnSpPr>
      <xdr:spPr>
        <a:xfrm>
          <a:off x="4489203" y="9477047"/>
          <a:ext cx="603980" cy="44127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638736</xdr:colOff>
      <xdr:row>59</xdr:row>
      <xdr:rowOff>141345</xdr:rowOff>
    </xdr:from>
    <xdr:to>
      <xdr:col>8</xdr:col>
      <xdr:colOff>235433</xdr:colOff>
      <xdr:row>69</xdr:row>
      <xdr:rowOff>123265</xdr:rowOff>
    </xdr:to>
    <xdr:cxnSp macro="">
      <xdr:nvCxnSpPr>
        <xdr:cNvPr id="49" name="カギ線コネクタ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CxnSpPr>
          <a:stCxn id="29" idx="2"/>
        </xdr:cNvCxnSpPr>
      </xdr:nvCxnSpPr>
      <xdr:spPr>
        <a:xfrm rot="5400000">
          <a:off x="2389225" y="9249356"/>
          <a:ext cx="1696420" cy="371149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189188</xdr:colOff>
      <xdr:row>50</xdr:row>
      <xdr:rowOff>39585</xdr:rowOff>
    </xdr:from>
    <xdr:to>
      <xdr:col>6</xdr:col>
      <xdr:colOff>193772</xdr:colOff>
      <xdr:row>53</xdr:row>
      <xdr:rowOff>43805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>
          <a:stCxn id="24" idx="2"/>
          <a:endCxn id="27" idx="0"/>
        </xdr:cNvCxnSpPr>
      </xdr:nvCxnSpPr>
      <xdr:spPr>
        <a:xfrm flipH="1">
          <a:off x="3675338" y="8612085"/>
          <a:ext cx="4584" cy="5185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280147</xdr:colOff>
      <xdr:row>53</xdr:row>
      <xdr:rowOff>134471</xdr:rowOff>
    </xdr:from>
    <xdr:to>
      <xdr:col>7</xdr:col>
      <xdr:colOff>590662</xdr:colOff>
      <xdr:row>55</xdr:row>
      <xdr:rowOff>127487</xdr:rowOff>
    </xdr:to>
    <xdr:sp macro="" textlink="">
      <xdr:nvSpPr>
        <xdr:cNvPr id="51" name="テキスト ボックス 1549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4452097" y="9221321"/>
          <a:ext cx="310515" cy="335916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425822</xdr:colOff>
      <xdr:row>50</xdr:row>
      <xdr:rowOff>44824</xdr:rowOff>
    </xdr:from>
    <xdr:to>
      <xdr:col>6</xdr:col>
      <xdr:colOff>52778</xdr:colOff>
      <xdr:row>52</xdr:row>
      <xdr:rowOff>37840</xdr:rowOff>
    </xdr:to>
    <xdr:sp macro="" textlink="">
      <xdr:nvSpPr>
        <xdr:cNvPr id="52" name="テキスト ボックス 1549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3226172" y="8617324"/>
          <a:ext cx="312756" cy="335916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N</a:t>
          </a:r>
        </a:p>
      </xdr:txBody>
    </xdr:sp>
    <xdr:clientData/>
  </xdr:twoCellAnchor>
  <xdr:twoCellAnchor>
    <xdr:from>
      <xdr:col>2</xdr:col>
      <xdr:colOff>246530</xdr:colOff>
      <xdr:row>45</xdr:row>
      <xdr:rowOff>123264</xdr:rowOff>
    </xdr:from>
    <xdr:to>
      <xdr:col>2</xdr:col>
      <xdr:colOff>557045</xdr:colOff>
      <xdr:row>47</xdr:row>
      <xdr:rowOff>116280</xdr:rowOff>
    </xdr:to>
    <xdr:sp macro="" textlink="">
      <xdr:nvSpPr>
        <xdr:cNvPr id="53" name="テキスト ボックス 1549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989480" y="7838514"/>
          <a:ext cx="310515" cy="335916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N</a:t>
          </a:r>
        </a:p>
      </xdr:txBody>
    </xdr:sp>
    <xdr:clientData/>
  </xdr:twoCellAnchor>
  <xdr:twoCellAnchor>
    <xdr:from>
      <xdr:col>2</xdr:col>
      <xdr:colOff>675155</xdr:colOff>
      <xdr:row>64</xdr:row>
      <xdr:rowOff>46607</xdr:rowOff>
    </xdr:from>
    <xdr:to>
      <xdr:col>6</xdr:col>
      <xdr:colOff>182204</xdr:colOff>
      <xdr:row>68</xdr:row>
      <xdr:rowOff>33618</xdr:rowOff>
    </xdr:to>
    <xdr:cxnSp macro="">
      <xdr:nvCxnSpPr>
        <xdr:cNvPr id="54" name="カギ線コネクタ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CxnSpPr>
          <a:stCxn id="31" idx="2"/>
        </xdr:cNvCxnSpPr>
      </xdr:nvCxnSpPr>
      <xdr:spPr>
        <a:xfrm rot="5400000">
          <a:off x="2206824" y="10230688"/>
          <a:ext cx="672811" cy="225024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182204</xdr:colOff>
      <xdr:row>57</xdr:row>
      <xdr:rowOff>50789</xdr:rowOff>
    </xdr:from>
    <xdr:to>
      <xdr:col>6</xdr:col>
      <xdr:colOff>189188</xdr:colOff>
      <xdr:row>62</xdr:row>
      <xdr:rowOff>21393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CxnSpPr>
          <a:stCxn id="27" idx="2"/>
          <a:endCxn id="31" idx="0"/>
        </xdr:cNvCxnSpPr>
      </xdr:nvCxnSpPr>
      <xdr:spPr>
        <a:xfrm flipH="1">
          <a:off x="3668354" y="9823439"/>
          <a:ext cx="6984" cy="8278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56</xdr:row>
      <xdr:rowOff>161925</xdr:rowOff>
    </xdr:from>
    <xdr:to>
      <xdr:col>6</xdr:col>
      <xdr:colOff>93681</xdr:colOff>
      <xdr:row>58</xdr:row>
      <xdr:rowOff>154941</xdr:rowOff>
    </xdr:to>
    <xdr:sp macro="" textlink="">
      <xdr:nvSpPr>
        <xdr:cNvPr id="56" name="テキスト ボックス 1549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3267075" y="9763125"/>
          <a:ext cx="312756" cy="335916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N</a:t>
          </a:r>
        </a:p>
      </xdr:txBody>
    </xdr:sp>
    <xdr:clientData/>
  </xdr:twoCellAnchor>
  <xdr:twoCellAnchor>
    <xdr:from>
      <xdr:col>4</xdr:col>
      <xdr:colOff>42617</xdr:colOff>
      <xdr:row>74</xdr:row>
      <xdr:rowOff>51119</xdr:rowOff>
    </xdr:from>
    <xdr:to>
      <xdr:col>6</xdr:col>
      <xdr:colOff>199502</xdr:colOff>
      <xdr:row>76</xdr:row>
      <xdr:rowOff>44222</xdr:rowOff>
    </xdr:to>
    <xdr:cxnSp macro="">
      <xdr:nvCxnSpPr>
        <xdr:cNvPr id="57" name="カギ線コネクタ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CxnSpPr>
          <a:stCxn id="32" idx="3"/>
          <a:endCxn id="34" idx="0"/>
        </xdr:cNvCxnSpPr>
      </xdr:nvCxnSpPr>
      <xdr:spPr>
        <a:xfrm>
          <a:off x="2157167" y="12738419"/>
          <a:ext cx="1528485" cy="33600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72</xdr:row>
      <xdr:rowOff>163285</xdr:rowOff>
    </xdr:from>
    <xdr:to>
      <xdr:col>4</xdr:col>
      <xdr:colOff>296908</xdr:colOff>
      <xdr:row>74</xdr:row>
      <xdr:rowOff>156303</xdr:rowOff>
    </xdr:to>
    <xdr:sp macro="" textlink="">
      <xdr:nvSpPr>
        <xdr:cNvPr id="58" name="テキスト ボックス 1549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2095500" y="12507685"/>
          <a:ext cx="315958" cy="335918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327566</xdr:colOff>
      <xdr:row>78</xdr:row>
      <xdr:rowOff>47715</xdr:rowOff>
    </xdr:from>
    <xdr:to>
      <xdr:col>10</xdr:col>
      <xdr:colOff>10423</xdr:colOff>
      <xdr:row>80</xdr:row>
      <xdr:rowOff>34417</xdr:rowOff>
    </xdr:to>
    <xdr:cxnSp macro="">
      <xdr:nvCxnSpPr>
        <xdr:cNvPr id="59" name="カギ線コネクタ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CxnSpPr>
          <a:stCxn id="34" idx="3"/>
          <a:endCxn id="36" idx="0"/>
        </xdr:cNvCxnSpPr>
      </xdr:nvCxnSpPr>
      <xdr:spPr>
        <a:xfrm>
          <a:off x="4499516" y="13420815"/>
          <a:ext cx="1740257" cy="32960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321964</xdr:colOff>
      <xdr:row>85</xdr:row>
      <xdr:rowOff>19700</xdr:rowOff>
    </xdr:from>
    <xdr:to>
      <xdr:col>8</xdr:col>
      <xdr:colOff>279360</xdr:colOff>
      <xdr:row>88</xdr:row>
      <xdr:rowOff>46426</xdr:rowOff>
    </xdr:to>
    <xdr:cxnSp macro="">
      <xdr:nvCxnSpPr>
        <xdr:cNvPr id="60" name="カギ線コネクタ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CxnSpPr>
          <a:stCxn id="37" idx="3"/>
          <a:endCxn id="39" idx="0"/>
        </xdr:cNvCxnSpPr>
      </xdr:nvCxnSpPr>
      <xdr:spPr>
        <a:xfrm>
          <a:off x="4493914" y="14592950"/>
          <a:ext cx="643196" cy="54107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585107</xdr:colOff>
      <xdr:row>76</xdr:row>
      <xdr:rowOff>54428</xdr:rowOff>
    </xdr:from>
    <xdr:to>
      <xdr:col>2</xdr:col>
      <xdr:colOff>585107</xdr:colOff>
      <xdr:row>104</xdr:row>
      <xdr:rowOff>136072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CxnSpPr/>
      </xdr:nvCxnSpPr>
      <xdr:spPr>
        <a:xfrm>
          <a:off x="1328057" y="13084628"/>
          <a:ext cx="0" cy="4882244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639535</xdr:colOff>
      <xdr:row>82</xdr:row>
      <xdr:rowOff>58230</xdr:rowOff>
    </xdr:from>
    <xdr:to>
      <xdr:col>10</xdr:col>
      <xdr:colOff>10423</xdr:colOff>
      <xdr:row>103</xdr:row>
      <xdr:rowOff>108858</xdr:rowOff>
    </xdr:to>
    <xdr:cxnSp macro="">
      <xdr:nvCxnSpPr>
        <xdr:cNvPr id="62" name="カギ線コネクタ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>
          <a:stCxn id="36" idx="2"/>
        </xdr:cNvCxnSpPr>
      </xdr:nvCxnSpPr>
      <xdr:spPr>
        <a:xfrm rot="5400000">
          <a:off x="1985590" y="13514025"/>
          <a:ext cx="3651078" cy="48572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625928</xdr:colOff>
      <xdr:row>90</xdr:row>
      <xdr:rowOff>71639</xdr:rowOff>
    </xdr:from>
    <xdr:to>
      <xdr:col>8</xdr:col>
      <xdr:colOff>279360</xdr:colOff>
      <xdr:row>102</xdr:row>
      <xdr:rowOff>136073</xdr:rowOff>
    </xdr:to>
    <xdr:cxnSp macro="">
      <xdr:nvCxnSpPr>
        <xdr:cNvPr id="63" name="カギ線コネクタ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CxnSpPr>
          <a:stCxn id="39" idx="2"/>
        </xdr:cNvCxnSpPr>
      </xdr:nvCxnSpPr>
      <xdr:spPr>
        <a:xfrm rot="5400000">
          <a:off x="2192077" y="14678940"/>
          <a:ext cx="2121834" cy="376823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639536</xdr:colOff>
      <xdr:row>99</xdr:row>
      <xdr:rowOff>42020</xdr:rowOff>
    </xdr:from>
    <xdr:to>
      <xdr:col>6</xdr:col>
      <xdr:colOff>192918</xdr:colOff>
      <xdr:row>101</xdr:row>
      <xdr:rowOff>136073</xdr:rowOff>
    </xdr:to>
    <xdr:cxnSp macro="">
      <xdr:nvCxnSpPr>
        <xdr:cNvPr id="64" name="カギ線コネクタ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>
          <a:stCxn id="40" idx="2"/>
        </xdr:cNvCxnSpPr>
      </xdr:nvCxnSpPr>
      <xdr:spPr>
        <a:xfrm rot="5400000">
          <a:off x="2312300" y="16085756"/>
          <a:ext cx="436953" cy="229658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353787</xdr:colOff>
      <xdr:row>77</xdr:row>
      <xdr:rowOff>1</xdr:rowOff>
    </xdr:from>
    <xdr:to>
      <xdr:col>7</xdr:col>
      <xdr:colOff>664302</xdr:colOff>
      <xdr:row>78</xdr:row>
      <xdr:rowOff>169911</xdr:rowOff>
    </xdr:to>
    <xdr:sp macro="" textlink="">
      <xdr:nvSpPr>
        <xdr:cNvPr id="65" name="テキスト ボックス 1549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4525737" y="13201651"/>
          <a:ext cx="310515" cy="34136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5</xdr:col>
      <xdr:colOff>244928</xdr:colOff>
      <xdr:row>79</xdr:row>
      <xdr:rowOff>136072</xdr:rowOff>
    </xdr:from>
    <xdr:to>
      <xdr:col>5</xdr:col>
      <xdr:colOff>552241</xdr:colOff>
      <xdr:row>81</xdr:row>
      <xdr:rowOff>129089</xdr:rowOff>
    </xdr:to>
    <xdr:sp macro="" textlink="">
      <xdr:nvSpPr>
        <xdr:cNvPr id="66" name="テキスト ボックス 1549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3045278" y="13680622"/>
          <a:ext cx="307313" cy="335917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N</a:t>
          </a:r>
        </a:p>
      </xdr:txBody>
    </xdr:sp>
    <xdr:clientData/>
  </xdr:twoCellAnchor>
  <xdr:twoCellAnchor>
    <xdr:from>
      <xdr:col>6</xdr:col>
      <xdr:colOff>204107</xdr:colOff>
      <xdr:row>80</xdr:row>
      <xdr:rowOff>0</xdr:rowOff>
    </xdr:from>
    <xdr:to>
      <xdr:col>6</xdr:col>
      <xdr:colOff>208691</xdr:colOff>
      <xdr:row>83</xdr:row>
      <xdr:rowOff>4220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CxnSpPr/>
      </xdr:nvCxnSpPr>
      <xdr:spPr>
        <a:xfrm flipH="1">
          <a:off x="3690257" y="13716000"/>
          <a:ext cx="4584" cy="5185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312964</xdr:colOff>
      <xdr:row>83</xdr:row>
      <xdr:rowOff>108857</xdr:rowOff>
    </xdr:from>
    <xdr:to>
      <xdr:col>7</xdr:col>
      <xdr:colOff>623479</xdr:colOff>
      <xdr:row>85</xdr:row>
      <xdr:rowOff>101874</xdr:rowOff>
    </xdr:to>
    <xdr:sp macro="" textlink="">
      <xdr:nvSpPr>
        <xdr:cNvPr id="68" name="テキスト ボックス 1549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4484914" y="14339207"/>
          <a:ext cx="310515" cy="335917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6</xdr:col>
      <xdr:colOff>193899</xdr:colOff>
      <xdr:row>87</xdr:row>
      <xdr:rowOff>23192</xdr:rowOff>
    </xdr:from>
    <xdr:to>
      <xdr:col>6</xdr:col>
      <xdr:colOff>195317</xdr:colOff>
      <xdr:row>90</xdr:row>
      <xdr:rowOff>166687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CxnSpPr>
          <a:stCxn id="37" idx="2"/>
          <a:endCxn id="41" idx="0"/>
        </xdr:cNvCxnSpPr>
      </xdr:nvCxnSpPr>
      <xdr:spPr>
        <a:xfrm>
          <a:off x="3680049" y="14939342"/>
          <a:ext cx="1418" cy="6578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435428</xdr:colOff>
      <xdr:row>87</xdr:row>
      <xdr:rowOff>-1</xdr:rowOff>
    </xdr:from>
    <xdr:to>
      <xdr:col>6</xdr:col>
      <xdr:colOff>62384</xdr:colOff>
      <xdr:row>88</xdr:row>
      <xdr:rowOff>169909</xdr:rowOff>
    </xdr:to>
    <xdr:sp macro="" textlink="">
      <xdr:nvSpPr>
        <xdr:cNvPr id="70" name="テキスト ボックス 154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3235778" y="14916149"/>
          <a:ext cx="312756" cy="34136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N</a:t>
          </a:r>
        </a:p>
      </xdr:txBody>
    </xdr:sp>
    <xdr:clientData/>
  </xdr:twoCellAnchor>
  <xdr:twoCellAnchor>
    <xdr:from>
      <xdr:col>6</xdr:col>
      <xdr:colOff>192917</xdr:colOff>
      <xdr:row>93</xdr:row>
      <xdr:rowOff>37418</xdr:rowOff>
    </xdr:from>
    <xdr:to>
      <xdr:col>6</xdr:col>
      <xdr:colOff>195317</xdr:colOff>
      <xdr:row>97</xdr:row>
      <xdr:rowOff>16808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CxnSpPr>
          <a:stCxn id="41" idx="2"/>
          <a:endCxn id="40" idx="0"/>
        </xdr:cNvCxnSpPr>
      </xdr:nvCxnSpPr>
      <xdr:spPr>
        <a:xfrm flipH="1">
          <a:off x="3679067" y="15982268"/>
          <a:ext cx="2400" cy="665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231321</xdr:colOff>
      <xdr:row>76</xdr:row>
      <xdr:rowOff>13607</xdr:rowOff>
    </xdr:from>
    <xdr:to>
      <xdr:col>2</xdr:col>
      <xdr:colOff>503464</xdr:colOff>
      <xdr:row>77</xdr:row>
      <xdr:rowOff>136071</xdr:rowOff>
    </xdr:to>
    <xdr:sp macro="" textlink="">
      <xdr:nvSpPr>
        <xdr:cNvPr id="72" name="テキスト ボックス 1549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974271" y="13043807"/>
          <a:ext cx="272143" cy="293914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N</a:t>
          </a:r>
        </a:p>
      </xdr:txBody>
    </xdr:sp>
    <xdr:clientData/>
  </xdr:twoCellAnchor>
  <xdr:twoCellAnchor>
    <xdr:from>
      <xdr:col>7</xdr:col>
      <xdr:colOff>340178</xdr:colOff>
      <xdr:row>12</xdr:row>
      <xdr:rowOff>81643</xdr:rowOff>
    </xdr:from>
    <xdr:to>
      <xdr:col>9</xdr:col>
      <xdr:colOff>595586</xdr:colOff>
      <xdr:row>15</xdr:row>
      <xdr:rowOff>141332</xdr:rowOff>
    </xdr:to>
    <xdr:sp macro="" textlink="">
      <xdr:nvSpPr>
        <xdr:cNvPr id="73" name="フローチャート: 判断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4512128" y="2139043"/>
          <a:ext cx="1627008" cy="574039"/>
        </a:xfrm>
        <a:prstGeom prst="flowChartDecision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612321</xdr:colOff>
      <xdr:row>13</xdr:row>
      <xdr:rowOff>13607</xdr:rowOff>
    </xdr:from>
    <xdr:to>
      <xdr:col>9</xdr:col>
      <xdr:colOff>236763</xdr:colOff>
      <xdr:row>15</xdr:row>
      <xdr:rowOff>49616</xdr:rowOff>
    </xdr:to>
    <xdr:sp macro="" textlink="">
      <xdr:nvSpPr>
        <xdr:cNvPr id="74" name="テキスト ボックス 1551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4784271" y="2242457"/>
          <a:ext cx="996042" cy="378909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Dip switch1 bit3=ON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9</xdr:col>
      <xdr:colOff>595586</xdr:colOff>
      <xdr:row>14</xdr:row>
      <xdr:rowOff>23041</xdr:rowOff>
    </xdr:from>
    <xdr:to>
      <xdr:col>11</xdr:col>
      <xdr:colOff>116897</xdr:colOff>
      <xdr:row>16</xdr:row>
      <xdr:rowOff>40821</xdr:rowOff>
    </xdr:to>
    <xdr:cxnSp macro="">
      <xdr:nvCxnSpPr>
        <xdr:cNvPr id="75" name="カギ線コネクタ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CxnSpPr>
          <a:stCxn id="73" idx="3"/>
          <a:endCxn id="76" idx="0"/>
        </xdr:cNvCxnSpPr>
      </xdr:nvCxnSpPr>
      <xdr:spPr>
        <a:xfrm>
          <a:off x="6139136" y="2423341"/>
          <a:ext cx="892911" cy="360680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10</xdr:col>
      <xdr:colOff>136072</xdr:colOff>
      <xdr:row>16</xdr:row>
      <xdr:rowOff>40821</xdr:rowOff>
    </xdr:from>
    <xdr:to>
      <xdr:col>12</xdr:col>
      <xdr:colOff>97721</xdr:colOff>
      <xdr:row>18</xdr:row>
      <xdr:rowOff>102345</xdr:rowOff>
    </xdr:to>
    <xdr:sp macro="" textlink="">
      <xdr:nvSpPr>
        <xdr:cNvPr id="76" name="フローチャート: 処理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6365422" y="2784021"/>
          <a:ext cx="1333249" cy="404424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Set RAC 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8</xdr:col>
      <xdr:colOff>462643</xdr:colOff>
      <xdr:row>15</xdr:row>
      <xdr:rowOff>122464</xdr:rowOff>
    </xdr:from>
    <xdr:to>
      <xdr:col>8</xdr:col>
      <xdr:colOff>462643</xdr:colOff>
      <xdr:row>17</xdr:row>
      <xdr:rowOff>103414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/>
      </xdr:nvCxnSpPr>
      <xdr:spPr>
        <a:xfrm>
          <a:off x="5320393" y="2694214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462643</xdr:colOff>
      <xdr:row>17</xdr:row>
      <xdr:rowOff>122463</xdr:rowOff>
    </xdr:from>
    <xdr:to>
      <xdr:col>9</xdr:col>
      <xdr:colOff>424291</xdr:colOff>
      <xdr:row>20</xdr:row>
      <xdr:rowOff>7094</xdr:rowOff>
    </xdr:to>
    <xdr:sp macro="" textlink="">
      <xdr:nvSpPr>
        <xdr:cNvPr id="78" name="フローチャート: 処理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4634593" y="3037113"/>
          <a:ext cx="1333248" cy="398981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Set LC 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163286</xdr:colOff>
      <xdr:row>19</xdr:row>
      <xdr:rowOff>1</xdr:rowOff>
    </xdr:from>
    <xdr:to>
      <xdr:col>4</xdr:col>
      <xdr:colOff>51302</xdr:colOff>
      <xdr:row>22</xdr:row>
      <xdr:rowOff>64786</xdr:rowOff>
    </xdr:to>
    <xdr:sp macro="" textlink="">
      <xdr:nvSpPr>
        <xdr:cNvPr id="79" name="フローチャート: 判断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534761" y="3257551"/>
          <a:ext cx="1631091" cy="579135"/>
        </a:xfrm>
        <a:prstGeom prst="flowChartDecision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 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92577</xdr:colOff>
      <xdr:row>19</xdr:row>
      <xdr:rowOff>62244</xdr:rowOff>
    </xdr:from>
    <xdr:to>
      <xdr:col>3</xdr:col>
      <xdr:colOff>397377</xdr:colOff>
      <xdr:row>21</xdr:row>
      <xdr:rowOff>101965</xdr:rowOff>
    </xdr:to>
    <xdr:sp macro="" textlink="">
      <xdr:nvSpPr>
        <xdr:cNvPr id="80" name="テキスト ボックス 1551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835527" y="3319794"/>
          <a:ext cx="990600" cy="382621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EEPROM</a:t>
          </a:r>
          <a:r>
            <a:rPr lang="en-US" sz="105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ＭＳ Ｐゴシック" panose="020B0600070205080204" pitchFamily="50" charset="-128"/>
            </a:rPr>
            <a:t> = RAC</a:t>
          </a:r>
          <a:endParaRPr lang="en-US" sz="1050">
            <a:effectLst/>
            <a:latin typeface="Meiryo UI" panose="020B0604030504040204" pitchFamily="50" charset="-128"/>
            <a:ea typeface="Meiryo UI" panose="020B060403050404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4</xdr:col>
      <xdr:colOff>27172</xdr:colOff>
      <xdr:row>19</xdr:row>
      <xdr:rowOff>59069</xdr:rowOff>
    </xdr:from>
    <xdr:to>
      <xdr:col>4</xdr:col>
      <xdr:colOff>337687</xdr:colOff>
      <xdr:row>21</xdr:row>
      <xdr:rowOff>52086</xdr:rowOff>
    </xdr:to>
    <xdr:sp macro="" textlink="">
      <xdr:nvSpPr>
        <xdr:cNvPr id="81" name="テキスト ボックス 1549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2141722" y="3316619"/>
          <a:ext cx="310515" cy="335917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246247</xdr:colOff>
      <xdr:row>22</xdr:row>
      <xdr:rowOff>15877</xdr:rowOff>
    </xdr:from>
    <xdr:to>
      <xdr:col>2</xdr:col>
      <xdr:colOff>554521</xdr:colOff>
      <xdr:row>23</xdr:row>
      <xdr:rowOff>121016</xdr:rowOff>
    </xdr:to>
    <xdr:sp macro="" textlink="">
      <xdr:nvSpPr>
        <xdr:cNvPr id="82" name="テキスト ボックス 1545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989197" y="3787777"/>
          <a:ext cx="308274" cy="276589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N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4</xdr:col>
      <xdr:colOff>51302</xdr:colOff>
      <xdr:row>20</xdr:row>
      <xdr:rowOff>120840</xdr:rowOff>
    </xdr:from>
    <xdr:to>
      <xdr:col>6</xdr:col>
      <xdr:colOff>419383</xdr:colOff>
      <xdr:row>22</xdr:row>
      <xdr:rowOff>126638</xdr:rowOff>
    </xdr:to>
    <xdr:cxnSp macro="">
      <xdr:nvCxnSpPr>
        <xdr:cNvPr id="83" name="カギ線コネクタ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>
          <a:stCxn id="79" idx="3"/>
          <a:endCxn id="84" idx="0"/>
        </xdr:cNvCxnSpPr>
      </xdr:nvCxnSpPr>
      <xdr:spPr>
        <a:xfrm>
          <a:off x="2165852" y="3549840"/>
          <a:ext cx="1739681" cy="348698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438558</xdr:colOff>
      <xdr:row>22</xdr:row>
      <xdr:rowOff>126638</xdr:rowOff>
    </xdr:from>
    <xdr:to>
      <xdr:col>7</xdr:col>
      <xdr:colOff>400207</xdr:colOff>
      <xdr:row>25</xdr:row>
      <xdr:rowOff>11269</xdr:rowOff>
    </xdr:to>
    <xdr:sp macro="" textlink="">
      <xdr:nvSpPr>
        <xdr:cNvPr id="84" name="フローチャート: 処理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>
          <a:off x="3238908" y="3898538"/>
          <a:ext cx="1333249" cy="398981"/>
        </a:xfrm>
        <a:prstGeom prst="flowChart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FFFFFF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Set RAC mode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612321</xdr:colOff>
      <xdr:row>32</xdr:row>
      <xdr:rowOff>113940</xdr:rowOff>
    </xdr:from>
    <xdr:to>
      <xdr:col>5</xdr:col>
      <xdr:colOff>128504</xdr:colOff>
      <xdr:row>37</xdr:row>
      <xdr:rowOff>40823</xdr:rowOff>
    </xdr:to>
    <xdr:cxnSp macro="">
      <xdr:nvCxnSpPr>
        <xdr:cNvPr id="85" name="カギ線コネクタ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CxnSpPr>
          <a:stCxn id="12" idx="2"/>
        </xdr:cNvCxnSpPr>
      </xdr:nvCxnSpPr>
      <xdr:spPr>
        <a:xfrm rot="5400000">
          <a:off x="1749996" y="5205615"/>
          <a:ext cx="784133" cy="1573583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585108</xdr:colOff>
      <xdr:row>25</xdr:row>
      <xdr:rowOff>11268</xdr:rowOff>
    </xdr:from>
    <xdr:to>
      <xdr:col>6</xdr:col>
      <xdr:colOff>419384</xdr:colOff>
      <xdr:row>37</xdr:row>
      <xdr:rowOff>163284</xdr:rowOff>
    </xdr:to>
    <xdr:cxnSp macro="">
      <xdr:nvCxnSpPr>
        <xdr:cNvPr id="86" name="カギ線コネクタ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CxnSpPr>
          <a:stCxn id="84" idx="2"/>
        </xdr:cNvCxnSpPr>
      </xdr:nvCxnSpPr>
      <xdr:spPr>
        <a:xfrm rot="5400000">
          <a:off x="1512088" y="4113488"/>
          <a:ext cx="2209416" cy="2577476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603262</xdr:colOff>
      <xdr:row>22</xdr:row>
      <xdr:rowOff>64786</xdr:rowOff>
    </xdr:from>
    <xdr:to>
      <xdr:col>2</xdr:col>
      <xdr:colOff>603955</xdr:colOff>
      <xdr:row>27</xdr:row>
      <xdr:rowOff>100767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CxnSpPr>
          <a:stCxn id="79" idx="2"/>
          <a:endCxn id="9" idx="0"/>
        </xdr:cNvCxnSpPr>
      </xdr:nvCxnSpPr>
      <xdr:spPr>
        <a:xfrm flipH="1">
          <a:off x="1346212" y="3836686"/>
          <a:ext cx="693" cy="8932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598714</xdr:colOff>
      <xdr:row>20</xdr:row>
      <xdr:rowOff>7094</xdr:rowOff>
    </xdr:from>
    <xdr:to>
      <xdr:col>8</xdr:col>
      <xdr:colOff>443467</xdr:colOff>
      <xdr:row>39</xdr:row>
      <xdr:rowOff>0</xdr:rowOff>
    </xdr:to>
    <xdr:cxnSp macro="">
      <xdr:nvCxnSpPr>
        <xdr:cNvPr id="88" name="カギ線コネクタ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CxnSpPr>
          <a:stCxn id="78" idx="2"/>
        </xdr:cNvCxnSpPr>
      </xdr:nvCxnSpPr>
      <xdr:spPr>
        <a:xfrm rot="5400000">
          <a:off x="1696213" y="3081545"/>
          <a:ext cx="3250456" cy="3959553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571501</xdr:colOff>
      <xdr:row>18</xdr:row>
      <xdr:rowOff>102345</xdr:rowOff>
    </xdr:from>
    <xdr:to>
      <xdr:col>11</xdr:col>
      <xdr:colOff>116898</xdr:colOff>
      <xdr:row>39</xdr:row>
      <xdr:rowOff>163286</xdr:rowOff>
    </xdr:to>
    <xdr:cxnSp macro="">
      <xdr:nvCxnSpPr>
        <xdr:cNvPr id="89" name="カギ線コネクタ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>
          <a:stCxn id="76" idx="2"/>
        </xdr:cNvCxnSpPr>
      </xdr:nvCxnSpPr>
      <xdr:spPr>
        <a:xfrm rot="5400000">
          <a:off x="2342554" y="2160342"/>
          <a:ext cx="3661391" cy="5717597"/>
        </a:xfrm>
        <a:prstGeom prst="bentConnector2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9</xdr:col>
      <xdr:colOff>557892</xdr:colOff>
      <xdr:row>13</xdr:row>
      <xdr:rowOff>0</xdr:rowOff>
    </xdr:from>
    <xdr:to>
      <xdr:col>10</xdr:col>
      <xdr:colOff>184848</xdr:colOff>
      <xdr:row>14</xdr:row>
      <xdr:rowOff>169908</xdr:rowOff>
    </xdr:to>
    <xdr:sp macro="" textlink="">
      <xdr:nvSpPr>
        <xdr:cNvPr id="90" name="テキスト ボックス 154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6101442" y="2228850"/>
          <a:ext cx="312756" cy="341358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Y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  <xdr:twoCellAnchor>
    <xdr:from>
      <xdr:col>8</xdr:col>
      <xdr:colOff>40821</xdr:colOff>
      <xdr:row>15</xdr:row>
      <xdr:rowOff>108857</xdr:rowOff>
    </xdr:from>
    <xdr:to>
      <xdr:col>8</xdr:col>
      <xdr:colOff>349095</xdr:colOff>
      <xdr:row>17</xdr:row>
      <xdr:rowOff>37102</xdr:rowOff>
    </xdr:to>
    <xdr:sp macro="" textlink="">
      <xdr:nvSpPr>
        <xdr:cNvPr id="91" name="テキスト ボックス 1545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4898571" y="2680607"/>
          <a:ext cx="308274" cy="271145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en-US" sz="1050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ＭＳ Ｐゴシック" panose="020B0600070205080204" pitchFamily="50" charset="-128"/>
              <a:cs typeface="ＭＳ Ｐゴシック" panose="020B0600070205080204" pitchFamily="50" charset="-128"/>
            </a:rPr>
            <a:t>N</a:t>
          </a:r>
          <a:endParaRPr lang="en-US" sz="12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ＭＳ Ｐゴシック" panose="020B060007020508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O96"/>
  <sheetViews>
    <sheetView tabSelected="1" topLeftCell="A56" zoomScaleNormal="100" workbookViewId="0">
      <selection activeCell="H77" sqref="H77"/>
    </sheetView>
  </sheetViews>
  <sheetFormatPr defaultRowHeight="12.95"/>
  <cols>
    <col min="1" max="3" width="2.5" customWidth="1"/>
    <col min="19" max="19" width="11.25" bestFit="1" customWidth="1"/>
    <col min="30" max="30" width="18.5" bestFit="1" customWidth="1"/>
    <col min="31" max="31" width="16.5" bestFit="1" customWidth="1"/>
    <col min="34" max="34" width="26.875" bestFit="1" customWidth="1"/>
    <col min="35" max="35" width="19.75" bestFit="1" customWidth="1"/>
  </cols>
  <sheetData>
    <row r="2" spans="2:19">
      <c r="B2" t="s">
        <v>0</v>
      </c>
    </row>
    <row r="3" spans="2:19">
      <c r="C3" t="s">
        <v>1</v>
      </c>
    </row>
    <row r="4" spans="2:19">
      <c r="D4" t="s">
        <v>2</v>
      </c>
    </row>
    <row r="5" spans="2:19">
      <c r="D5" t="s">
        <v>3</v>
      </c>
    </row>
    <row r="6" spans="2:19">
      <c r="D6" t="s">
        <v>4</v>
      </c>
    </row>
    <row r="8" spans="2:19">
      <c r="C8" t="s">
        <v>5</v>
      </c>
    </row>
    <row r="9" spans="2:19">
      <c r="D9" t="s">
        <v>6</v>
      </c>
    </row>
    <row r="10" spans="2:19">
      <c r="D10" t="s">
        <v>7</v>
      </c>
    </row>
    <row r="11" spans="2:19">
      <c r="D11" t="s">
        <v>8</v>
      </c>
      <c r="S11" t="s">
        <v>9</v>
      </c>
    </row>
    <row r="12" spans="2:19">
      <c r="D12" t="s">
        <v>10</v>
      </c>
    </row>
    <row r="13" spans="2:19">
      <c r="D13" t="s">
        <v>11</v>
      </c>
    </row>
    <row r="15" spans="2:19">
      <c r="D15" t="s">
        <v>12</v>
      </c>
    </row>
    <row r="24" spans="3:19">
      <c r="C24" t="s">
        <v>13</v>
      </c>
    </row>
    <row r="25" spans="3:19">
      <c r="D25" t="s">
        <v>14</v>
      </c>
      <c r="S25" t="s">
        <v>15</v>
      </c>
    </row>
    <row r="26" spans="3:19">
      <c r="D26" t="s">
        <v>16</v>
      </c>
    </row>
    <row r="27" spans="3:19">
      <c r="D27" t="s">
        <v>17</v>
      </c>
    </row>
    <row r="28" spans="3:19">
      <c r="D28" t="s">
        <v>18</v>
      </c>
    </row>
    <row r="30" spans="3:19">
      <c r="D30" t="s">
        <v>19</v>
      </c>
    </row>
    <row r="31" spans="3:19">
      <c r="D31" t="s">
        <v>20</v>
      </c>
    </row>
    <row r="34" spans="3:4">
      <c r="C34" t="s">
        <v>21</v>
      </c>
    </row>
    <row r="35" spans="3:4">
      <c r="D35" t="s">
        <v>22</v>
      </c>
    </row>
    <row r="36" spans="3:4">
      <c r="D36" t="s">
        <v>23</v>
      </c>
    </row>
    <row r="37" spans="3:4">
      <c r="D37" t="s">
        <v>8</v>
      </c>
    </row>
    <row r="38" spans="3:4">
      <c r="D38" t="s">
        <v>24</v>
      </c>
    </row>
    <row r="39" spans="3:4">
      <c r="D39" t="s">
        <v>25</v>
      </c>
    </row>
    <row r="40" spans="3:4">
      <c r="D40" t="s">
        <v>26</v>
      </c>
    </row>
    <row r="42" spans="3:4">
      <c r="C42" t="s">
        <v>27</v>
      </c>
    </row>
    <row r="43" spans="3:4">
      <c r="D43" t="s">
        <v>28</v>
      </c>
    </row>
    <row r="44" spans="3:4">
      <c r="D44" t="s">
        <v>29</v>
      </c>
    </row>
    <row r="45" spans="3:4">
      <c r="D45" t="s">
        <v>30</v>
      </c>
    </row>
    <row r="48" spans="3:4">
      <c r="C48" t="s">
        <v>31</v>
      </c>
    </row>
    <row r="54" spans="8:27">
      <c r="H54" t="s">
        <v>32</v>
      </c>
      <c r="S54" s="141"/>
      <c r="T54" s="141"/>
      <c r="U54" s="141"/>
      <c r="V54" s="141"/>
      <c r="W54" s="141"/>
      <c r="X54" s="141"/>
      <c r="Y54" s="141"/>
      <c r="Z54" s="141"/>
      <c r="AA54" s="141"/>
    </row>
    <row r="55" spans="8:27">
      <c r="S55" s="141"/>
      <c r="T55" s="141"/>
      <c r="U55" s="141"/>
      <c r="V55" s="141"/>
      <c r="W55" s="141"/>
      <c r="X55" s="141"/>
      <c r="Y55" s="141"/>
      <c r="Z55" s="141"/>
      <c r="AA55" s="141"/>
    </row>
    <row r="56" spans="8:27">
      <c r="J56" t="s">
        <v>33</v>
      </c>
      <c r="S56" s="141"/>
      <c r="T56" s="141"/>
      <c r="U56" s="141"/>
      <c r="V56" s="141"/>
      <c r="W56" s="141"/>
      <c r="X56" s="141"/>
      <c r="Y56" s="141"/>
      <c r="Z56" s="141"/>
      <c r="AA56" s="141"/>
    </row>
    <row r="59" spans="8:27">
      <c r="H59" t="s">
        <v>34</v>
      </c>
    </row>
    <row r="60" spans="8:27">
      <c r="R60" s="141"/>
    </row>
    <row r="61" spans="8:27">
      <c r="J61" t="s">
        <v>35</v>
      </c>
      <c r="R61" s="141"/>
    </row>
    <row r="63" spans="8:27">
      <c r="H63" t="s">
        <v>36</v>
      </c>
    </row>
    <row r="65" spans="8:10">
      <c r="J65" t="s">
        <v>37</v>
      </c>
    </row>
    <row r="70" spans="8:10">
      <c r="H70" t="s">
        <v>38</v>
      </c>
    </row>
    <row r="72" spans="8:10">
      <c r="J72" t="s">
        <v>39</v>
      </c>
    </row>
    <row r="84" spans="29:41" ht="13.5" thickBot="1"/>
    <row r="85" spans="29:41" ht="13.5" thickBot="1">
      <c r="AC85" s="48" t="s">
        <v>40</v>
      </c>
      <c r="AD85" s="47" t="s">
        <v>41</v>
      </c>
      <c r="AE85" s="45" t="s">
        <v>42</v>
      </c>
      <c r="AF85" s="46"/>
    </row>
    <row r="86" spans="29:41" ht="13.5" thickTop="1">
      <c r="AC86" s="35" t="s">
        <v>43</v>
      </c>
      <c r="AD86" s="32" t="s">
        <v>44</v>
      </c>
      <c r="AE86" s="30" t="s">
        <v>45</v>
      </c>
      <c r="AF86" s="31"/>
    </row>
    <row r="87" spans="29:41">
      <c r="AC87" s="36" t="s">
        <v>46</v>
      </c>
      <c r="AD87" s="33" t="s">
        <v>47</v>
      </c>
      <c r="AE87" s="11" t="s">
        <v>48</v>
      </c>
      <c r="AF87" s="28"/>
    </row>
    <row r="88" spans="29:41" ht="13.5" thickBot="1">
      <c r="AC88" s="37"/>
      <c r="AD88" s="34"/>
      <c r="AE88" s="5"/>
      <c r="AF88" s="29"/>
    </row>
    <row r="89" spans="29:41" ht="13.5" thickBot="1"/>
    <row r="90" spans="29:41">
      <c r="AH90" s="54"/>
      <c r="AI90" s="55"/>
      <c r="AJ90" s="148" t="s">
        <v>49</v>
      </c>
      <c r="AK90" s="149"/>
      <c r="AL90" s="149"/>
      <c r="AM90" s="149"/>
      <c r="AN90" s="149"/>
      <c r="AO90" s="150"/>
    </row>
    <row r="91" spans="29:41">
      <c r="AH91" s="56"/>
      <c r="AI91" s="57"/>
      <c r="AJ91" s="58" t="s">
        <v>44</v>
      </c>
      <c r="AK91" s="151" t="s">
        <v>47</v>
      </c>
      <c r="AL91" s="151"/>
      <c r="AM91" s="151"/>
      <c r="AN91" s="151"/>
      <c r="AO91" s="152"/>
    </row>
    <row r="92" spans="29:41" ht="13.5" thickBot="1">
      <c r="AH92" s="59" t="s">
        <v>50</v>
      </c>
      <c r="AI92" s="60" t="s">
        <v>51</v>
      </c>
      <c r="AJ92" s="40" t="s">
        <v>52</v>
      </c>
      <c r="AK92" s="41" t="s">
        <v>53</v>
      </c>
      <c r="AL92" s="41" t="s">
        <v>54</v>
      </c>
      <c r="AM92" s="41" t="s">
        <v>55</v>
      </c>
      <c r="AN92" s="41" t="s">
        <v>48</v>
      </c>
      <c r="AO92" s="61" t="s">
        <v>56</v>
      </c>
    </row>
    <row r="93" spans="29:41" ht="13.5" thickTop="1">
      <c r="AH93" s="50" t="s">
        <v>57</v>
      </c>
      <c r="AI93" s="52" t="s">
        <v>58</v>
      </c>
      <c r="AJ93" s="32" t="s">
        <v>59</v>
      </c>
      <c r="AK93" s="30" t="s">
        <v>60</v>
      </c>
      <c r="AL93" s="30" t="s">
        <v>60</v>
      </c>
      <c r="AM93" s="30" t="s">
        <v>60</v>
      </c>
      <c r="AN93" s="30" t="s">
        <v>60</v>
      </c>
      <c r="AO93" s="31" t="s">
        <v>60</v>
      </c>
    </row>
    <row r="94" spans="29:41">
      <c r="AH94" s="49" t="s">
        <v>61</v>
      </c>
      <c r="AI94" s="13" t="s">
        <v>62</v>
      </c>
      <c r="AJ94" s="33" t="s">
        <v>59</v>
      </c>
      <c r="AK94" s="11" t="s">
        <v>59</v>
      </c>
      <c r="AL94" s="11" t="s">
        <v>59</v>
      </c>
      <c r="AM94" s="11" t="s">
        <v>60</v>
      </c>
      <c r="AN94" s="11" t="s">
        <v>60</v>
      </c>
      <c r="AO94" s="28" t="s">
        <v>60</v>
      </c>
    </row>
    <row r="95" spans="29:41">
      <c r="AH95" s="49" t="s">
        <v>63</v>
      </c>
      <c r="AI95" s="13" t="s">
        <v>64</v>
      </c>
      <c r="AJ95" s="33" t="s">
        <v>59</v>
      </c>
      <c r="AK95" s="11" t="s">
        <v>59</v>
      </c>
      <c r="AL95" s="11" t="s">
        <v>59</v>
      </c>
      <c r="AM95" s="11" t="s">
        <v>59</v>
      </c>
      <c r="AN95" s="11" t="s">
        <v>59</v>
      </c>
      <c r="AO95" s="28" t="s">
        <v>60</v>
      </c>
    </row>
    <row r="96" spans="29:41" ht="13.5" thickBot="1">
      <c r="AH96" s="51"/>
      <c r="AI96" s="53"/>
      <c r="AJ96" s="34"/>
      <c r="AK96" s="5"/>
      <c r="AL96" s="5"/>
      <c r="AM96" s="5"/>
      <c r="AN96" s="5"/>
      <c r="AO96" s="29"/>
    </row>
  </sheetData>
  <mergeCells count="2">
    <mergeCell ref="AJ90:AO90"/>
    <mergeCell ref="AK91:AO91"/>
  </mergeCells>
  <phoneticPr fontId="1"/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6"/>
  <sheetViews>
    <sheetView zoomScale="70" zoomScaleNormal="70" workbookViewId="0">
      <selection activeCell="N92" sqref="N92"/>
    </sheetView>
  </sheetViews>
  <sheetFormatPr defaultColWidth="2.5" defaultRowHeight="12.95"/>
  <cols>
    <col min="1" max="4" width="0.625" customWidth="1"/>
    <col min="5" max="5" width="5.25" bestFit="1" customWidth="1"/>
    <col min="6" max="6" width="7.25" customWidth="1"/>
    <col min="7" max="7" width="8.125" bestFit="1" customWidth="1"/>
    <col min="8" max="8" width="16" bestFit="1" customWidth="1"/>
    <col min="9" max="9" width="38.5" customWidth="1"/>
    <col min="10" max="10" width="10.125" bestFit="1" customWidth="1"/>
    <col min="11" max="11" width="10.375" customWidth="1"/>
    <col min="12" max="12" width="8.75" bestFit="1" customWidth="1"/>
    <col min="13" max="13" width="5.25" bestFit="1" customWidth="1"/>
    <col min="14" max="14" width="7.625" customWidth="1"/>
    <col min="15" max="15" width="5.25" bestFit="1" customWidth="1"/>
    <col min="16" max="16" width="4" bestFit="1" customWidth="1"/>
    <col min="17" max="17" width="6.25" bestFit="1" customWidth="1"/>
    <col min="18" max="18" width="8.125" bestFit="1" customWidth="1"/>
    <col min="19" max="19" width="11.875" style="63" bestFit="1" customWidth="1"/>
    <col min="20" max="20" width="11.5" bestFit="1" customWidth="1"/>
    <col min="21" max="21" width="33.625" customWidth="1"/>
    <col min="24" max="24" width="1" customWidth="1"/>
    <col min="25" max="25" width="30" bestFit="1" customWidth="1"/>
    <col min="26" max="26" width="9" bestFit="1" customWidth="1"/>
    <col min="27" max="27" width="12.125" bestFit="1" customWidth="1"/>
    <col min="28" max="28" width="18" bestFit="1" customWidth="1"/>
  </cols>
  <sheetData>
    <row r="1" spans="1:28" ht="21">
      <c r="A1" s="62" t="s">
        <v>65</v>
      </c>
    </row>
    <row r="2" spans="1:28" ht="19.5" thickBot="1">
      <c r="D2" s="64" t="s">
        <v>66</v>
      </c>
      <c r="X2" s="64" t="s">
        <v>67</v>
      </c>
    </row>
    <row r="3" spans="1:28">
      <c r="E3" s="153" t="s">
        <v>68</v>
      </c>
      <c r="F3" s="154"/>
      <c r="G3" s="149" t="s">
        <v>69</v>
      </c>
      <c r="H3" s="178" t="s">
        <v>70</v>
      </c>
      <c r="I3" s="176" t="s">
        <v>71</v>
      </c>
      <c r="J3" s="174"/>
      <c r="K3" s="174"/>
      <c r="L3" s="175"/>
      <c r="M3" s="173" t="s">
        <v>72</v>
      </c>
      <c r="N3" s="174"/>
      <c r="O3" s="174"/>
      <c r="P3" s="174"/>
      <c r="Q3" s="175"/>
      <c r="R3" s="173" t="s">
        <v>73</v>
      </c>
      <c r="S3" s="174"/>
      <c r="T3" s="174"/>
      <c r="U3" s="177"/>
      <c r="Y3" s="151" t="s">
        <v>74</v>
      </c>
      <c r="Z3" s="151" t="s">
        <v>75</v>
      </c>
      <c r="AA3" s="151"/>
      <c r="AB3" s="26" t="s">
        <v>76</v>
      </c>
    </row>
    <row r="4" spans="1:28" ht="13.5" thickBot="1">
      <c r="E4" s="155"/>
      <c r="F4" s="156"/>
      <c r="G4" s="157"/>
      <c r="H4" s="179"/>
      <c r="I4" s="41" t="s">
        <v>77</v>
      </c>
      <c r="J4" s="41" t="s">
        <v>78</v>
      </c>
      <c r="K4" s="41" t="s">
        <v>79</v>
      </c>
      <c r="L4" s="65" t="s">
        <v>80</v>
      </c>
      <c r="M4" s="66" t="s">
        <v>81</v>
      </c>
      <c r="N4" s="67" t="s">
        <v>82</v>
      </c>
      <c r="O4" s="67" t="s">
        <v>83</v>
      </c>
      <c r="P4" s="67" t="s">
        <v>84</v>
      </c>
      <c r="Q4" s="68" t="s">
        <v>85</v>
      </c>
      <c r="R4" s="40" t="s">
        <v>78</v>
      </c>
      <c r="S4" s="41" t="s">
        <v>86</v>
      </c>
      <c r="T4" s="41" t="s">
        <v>40</v>
      </c>
      <c r="U4" s="61" t="s">
        <v>87</v>
      </c>
      <c r="Y4" s="151"/>
      <c r="Z4" s="26" t="s">
        <v>88</v>
      </c>
      <c r="AA4" s="26" t="s">
        <v>89</v>
      </c>
      <c r="AB4" s="26" t="s">
        <v>90</v>
      </c>
    </row>
    <row r="5" spans="1:28" ht="27.75" customHeight="1" thickTop="1" thickBot="1">
      <c r="E5" s="158" t="s">
        <v>91</v>
      </c>
      <c r="F5" s="160" t="s">
        <v>92</v>
      </c>
      <c r="G5" s="162">
        <v>1</v>
      </c>
      <c r="H5" s="142" t="s">
        <v>93</v>
      </c>
      <c r="I5" s="69" t="s">
        <v>94</v>
      </c>
      <c r="J5" s="70" t="s">
        <v>95</v>
      </c>
      <c r="K5" s="70" t="s">
        <v>96</v>
      </c>
      <c r="L5" s="71" t="s">
        <v>97</v>
      </c>
      <c r="M5" s="72" t="s">
        <v>98</v>
      </c>
      <c r="N5" s="73" t="s">
        <v>99</v>
      </c>
      <c r="O5" s="74" t="s">
        <v>100</v>
      </c>
      <c r="P5" s="75" t="s">
        <v>45</v>
      </c>
      <c r="Q5" s="76" t="s">
        <v>44</v>
      </c>
      <c r="R5" s="77" t="s">
        <v>101</v>
      </c>
      <c r="S5" s="74" t="s">
        <v>86</v>
      </c>
      <c r="T5" s="74" t="s">
        <v>48</v>
      </c>
      <c r="U5" s="78" t="s">
        <v>102</v>
      </c>
      <c r="Y5" s="11" t="s">
        <v>103</v>
      </c>
      <c r="Z5" s="26">
        <v>1</v>
      </c>
      <c r="AA5" s="26">
        <v>1</v>
      </c>
      <c r="AB5" s="26">
        <f t="shared" ref="AB5:AB12" si="0">IF(AND(Z5,AA5),1,0)</f>
        <v>1</v>
      </c>
    </row>
    <row r="6" spans="1:28" ht="27.75" customHeight="1" thickBot="1">
      <c r="E6" s="159"/>
      <c r="F6" s="161"/>
      <c r="G6" s="163"/>
      <c r="H6" s="143" t="s">
        <v>104</v>
      </c>
      <c r="I6" s="79" t="s">
        <v>105</v>
      </c>
      <c r="J6" s="80" t="s">
        <v>95</v>
      </c>
      <c r="K6" s="80" t="s">
        <v>96</v>
      </c>
      <c r="L6" s="81" t="s">
        <v>97</v>
      </c>
      <c r="M6" s="82" t="s">
        <v>106</v>
      </c>
      <c r="N6" s="83" t="s">
        <v>99</v>
      </c>
      <c r="O6" s="84" t="s">
        <v>107</v>
      </c>
      <c r="P6" s="84">
        <v>0</v>
      </c>
      <c r="Q6" s="85" t="s">
        <v>47</v>
      </c>
      <c r="R6" s="86" t="s">
        <v>108</v>
      </c>
      <c r="S6" s="87" t="s">
        <v>86</v>
      </c>
      <c r="T6" s="87" t="s">
        <v>109</v>
      </c>
      <c r="U6" s="88" t="s">
        <v>102</v>
      </c>
      <c r="Y6" s="11" t="s">
        <v>110</v>
      </c>
      <c r="Z6" s="26">
        <v>1</v>
      </c>
      <c r="AA6" s="26">
        <v>1</v>
      </c>
      <c r="AB6" s="26">
        <f t="shared" si="0"/>
        <v>1</v>
      </c>
    </row>
    <row r="7" spans="1:28" ht="27.75" customHeight="1" thickBot="1">
      <c r="E7" s="159"/>
      <c r="F7" s="161"/>
      <c r="G7" s="163">
        <f>G5+1</f>
        <v>2</v>
      </c>
      <c r="H7" s="143" t="s">
        <v>93</v>
      </c>
      <c r="I7" s="89" t="s">
        <v>111</v>
      </c>
      <c r="J7" s="80" t="s">
        <v>95</v>
      </c>
      <c r="K7" s="80" t="s">
        <v>96</v>
      </c>
      <c r="L7" s="81" t="s">
        <v>112</v>
      </c>
      <c r="M7" s="82" t="s">
        <v>113</v>
      </c>
      <c r="N7" s="83" t="s">
        <v>114</v>
      </c>
      <c r="O7" s="87" t="s">
        <v>100</v>
      </c>
      <c r="P7" s="84">
        <v>0</v>
      </c>
      <c r="Q7" s="85" t="s">
        <v>47</v>
      </c>
      <c r="R7" s="86" t="s">
        <v>108</v>
      </c>
      <c r="S7" s="87" t="s">
        <v>86</v>
      </c>
      <c r="T7" s="87" t="s">
        <v>109</v>
      </c>
      <c r="U7" s="88" t="s">
        <v>102</v>
      </c>
      <c r="Y7" s="11" t="s">
        <v>115</v>
      </c>
      <c r="Z7" s="26">
        <v>1</v>
      </c>
      <c r="AA7" s="26">
        <v>0</v>
      </c>
      <c r="AB7" s="26">
        <f t="shared" si="0"/>
        <v>0</v>
      </c>
    </row>
    <row r="8" spans="1:28" ht="27.75" customHeight="1" thickBot="1">
      <c r="E8" s="159"/>
      <c r="F8" s="161"/>
      <c r="G8" s="163"/>
      <c r="H8" s="143" t="s">
        <v>104</v>
      </c>
      <c r="I8" s="79" t="s">
        <v>102</v>
      </c>
      <c r="J8" s="80" t="s">
        <v>95</v>
      </c>
      <c r="K8" s="80" t="s">
        <v>96</v>
      </c>
      <c r="L8" s="81" t="s">
        <v>112</v>
      </c>
      <c r="M8" s="82" t="s">
        <v>116</v>
      </c>
      <c r="N8" s="83" t="s">
        <v>114</v>
      </c>
      <c r="O8" s="84" t="s">
        <v>107</v>
      </c>
      <c r="P8" s="84">
        <v>0</v>
      </c>
      <c r="Q8" s="85" t="s">
        <v>47</v>
      </c>
      <c r="R8" s="86" t="s">
        <v>108</v>
      </c>
      <c r="S8" s="87" t="s">
        <v>86</v>
      </c>
      <c r="T8" s="87" t="s">
        <v>109</v>
      </c>
      <c r="U8" s="88" t="s">
        <v>102</v>
      </c>
      <c r="Y8" s="11" t="s">
        <v>117</v>
      </c>
      <c r="Z8" s="26">
        <v>1</v>
      </c>
      <c r="AA8" s="26">
        <v>0</v>
      </c>
      <c r="AB8" s="26">
        <f t="shared" si="0"/>
        <v>0</v>
      </c>
    </row>
    <row r="9" spans="1:28" ht="27.75" customHeight="1" thickBot="1">
      <c r="E9" s="159"/>
      <c r="F9" s="161"/>
      <c r="G9" s="163">
        <f t="shared" ref="G9" si="1">G7+1</f>
        <v>3</v>
      </c>
      <c r="H9" s="143" t="s">
        <v>93</v>
      </c>
      <c r="I9" s="89" t="s">
        <v>111</v>
      </c>
      <c r="J9" s="80" t="s">
        <v>95</v>
      </c>
      <c r="K9" s="80" t="s">
        <v>96</v>
      </c>
      <c r="L9" s="81" t="s">
        <v>112</v>
      </c>
      <c r="M9" s="82" t="s">
        <v>113</v>
      </c>
      <c r="N9" s="83" t="s">
        <v>114</v>
      </c>
      <c r="O9" s="87" t="s">
        <v>100</v>
      </c>
      <c r="P9" s="84" t="s">
        <v>118</v>
      </c>
      <c r="Q9" s="85" t="s">
        <v>44</v>
      </c>
      <c r="R9" s="86" t="s">
        <v>108</v>
      </c>
      <c r="S9" s="87" t="s">
        <v>86</v>
      </c>
      <c r="T9" s="90" t="s">
        <v>119</v>
      </c>
      <c r="U9" s="88" t="s">
        <v>102</v>
      </c>
      <c r="Y9" s="11" t="s">
        <v>120</v>
      </c>
      <c r="Z9" s="26">
        <v>1</v>
      </c>
      <c r="AA9" s="26">
        <v>1</v>
      </c>
      <c r="AB9" s="26">
        <f t="shared" si="0"/>
        <v>1</v>
      </c>
    </row>
    <row r="10" spans="1:28" ht="27.75" customHeight="1" thickBot="1">
      <c r="E10" s="159"/>
      <c r="F10" s="161"/>
      <c r="G10" s="163"/>
      <c r="H10" s="143" t="s">
        <v>104</v>
      </c>
      <c r="I10" s="89" t="s">
        <v>102</v>
      </c>
      <c r="J10" s="80" t="s">
        <v>95</v>
      </c>
      <c r="K10" s="80" t="s">
        <v>96</v>
      </c>
      <c r="L10" s="81" t="s">
        <v>112</v>
      </c>
      <c r="M10" s="82" t="s">
        <v>116</v>
      </c>
      <c r="N10" s="83" t="s">
        <v>114</v>
      </c>
      <c r="O10" s="84" t="s">
        <v>107</v>
      </c>
      <c r="P10" s="84" t="s">
        <v>45</v>
      </c>
      <c r="Q10" s="85" t="s">
        <v>44</v>
      </c>
      <c r="R10" s="86" t="s">
        <v>108</v>
      </c>
      <c r="S10" s="87" t="s">
        <v>86</v>
      </c>
      <c r="T10" s="90" t="s">
        <v>119</v>
      </c>
      <c r="U10" s="88" t="s">
        <v>102</v>
      </c>
      <c r="Y10" s="11" t="s">
        <v>121</v>
      </c>
      <c r="Z10" s="26">
        <v>0</v>
      </c>
      <c r="AA10" s="26">
        <v>0</v>
      </c>
      <c r="AB10" s="26">
        <f t="shared" si="0"/>
        <v>0</v>
      </c>
    </row>
    <row r="11" spans="1:28" ht="27.75" customHeight="1" thickBot="1">
      <c r="E11" s="159"/>
      <c r="F11" s="161"/>
      <c r="G11" s="163">
        <f t="shared" ref="G11" si="2">G9+1</f>
        <v>4</v>
      </c>
      <c r="H11" s="143" t="s">
        <v>93</v>
      </c>
      <c r="I11" s="89" t="s">
        <v>111</v>
      </c>
      <c r="J11" s="80" t="s">
        <v>95</v>
      </c>
      <c r="K11" s="80" t="s">
        <v>96</v>
      </c>
      <c r="L11" s="81" t="s">
        <v>112</v>
      </c>
      <c r="M11" s="82" t="s">
        <v>113</v>
      </c>
      <c r="N11" s="83" t="s">
        <v>114</v>
      </c>
      <c r="O11" s="87" t="s">
        <v>100</v>
      </c>
      <c r="P11" s="84">
        <v>0</v>
      </c>
      <c r="Q11" s="85" t="s">
        <v>47</v>
      </c>
      <c r="R11" s="86" t="s">
        <v>108</v>
      </c>
      <c r="S11" s="87" t="s">
        <v>86</v>
      </c>
      <c r="T11" s="90" t="s">
        <v>119</v>
      </c>
      <c r="U11" s="88" t="s">
        <v>102</v>
      </c>
      <c r="Y11" s="11" t="s">
        <v>122</v>
      </c>
      <c r="Z11" s="26">
        <v>0</v>
      </c>
      <c r="AA11" s="26">
        <v>0</v>
      </c>
      <c r="AB11" s="26">
        <f t="shared" si="0"/>
        <v>0</v>
      </c>
    </row>
    <row r="12" spans="1:28" ht="27.75" customHeight="1" thickBot="1">
      <c r="E12" s="159"/>
      <c r="F12" s="161"/>
      <c r="G12" s="163"/>
      <c r="H12" s="143" t="s">
        <v>104</v>
      </c>
      <c r="I12" s="89" t="s">
        <v>102</v>
      </c>
      <c r="J12" s="80" t="s">
        <v>95</v>
      </c>
      <c r="K12" s="80" t="s">
        <v>96</v>
      </c>
      <c r="L12" s="81" t="s">
        <v>112</v>
      </c>
      <c r="M12" s="82" t="s">
        <v>116</v>
      </c>
      <c r="N12" s="91" t="s">
        <v>123</v>
      </c>
      <c r="O12" s="84"/>
      <c r="P12" s="84"/>
      <c r="Q12" s="85"/>
      <c r="R12" s="86" t="s">
        <v>108</v>
      </c>
      <c r="S12" s="87" t="s">
        <v>86</v>
      </c>
      <c r="T12" s="90" t="s">
        <v>119</v>
      </c>
      <c r="U12" s="88" t="s">
        <v>123</v>
      </c>
      <c r="Y12" s="11" t="s">
        <v>124</v>
      </c>
      <c r="Z12" s="26">
        <v>1</v>
      </c>
      <c r="AA12" s="26">
        <v>0</v>
      </c>
      <c r="AB12" s="26">
        <f t="shared" si="0"/>
        <v>0</v>
      </c>
    </row>
    <row r="13" spans="1:28" ht="27.75" customHeight="1" thickBot="1">
      <c r="E13" s="159"/>
      <c r="F13" s="161"/>
      <c r="G13" s="163">
        <f t="shared" ref="G13" si="3">G11+1</f>
        <v>5</v>
      </c>
      <c r="H13" s="143" t="s">
        <v>93</v>
      </c>
      <c r="I13" s="92" t="s">
        <v>94</v>
      </c>
      <c r="J13" s="93" t="s">
        <v>95</v>
      </c>
      <c r="K13" s="94" t="s">
        <v>125</v>
      </c>
      <c r="L13" s="95" t="s">
        <v>97</v>
      </c>
      <c r="M13" s="96" t="s">
        <v>98</v>
      </c>
      <c r="N13" s="97" t="s">
        <v>99</v>
      </c>
      <c r="O13" s="98" t="s">
        <v>100</v>
      </c>
      <c r="P13" s="99" t="s">
        <v>45</v>
      </c>
      <c r="Q13" s="100" t="s">
        <v>44</v>
      </c>
      <c r="R13" s="101" t="s">
        <v>101</v>
      </c>
      <c r="S13" s="98" t="s">
        <v>86</v>
      </c>
      <c r="T13" s="98" t="s">
        <v>48</v>
      </c>
      <c r="U13" s="102" t="s">
        <v>102</v>
      </c>
    </row>
    <row r="14" spans="1:28" ht="27.75" customHeight="1" thickBot="1">
      <c r="E14" s="159"/>
      <c r="F14" s="161"/>
      <c r="G14" s="163"/>
      <c r="H14" s="143" t="s">
        <v>104</v>
      </c>
      <c r="I14" s="79" t="s">
        <v>126</v>
      </c>
      <c r="J14" s="80" t="s">
        <v>95</v>
      </c>
      <c r="K14" s="103" t="s">
        <v>125</v>
      </c>
      <c r="L14" s="81" t="s">
        <v>97</v>
      </c>
      <c r="M14" s="82" t="s">
        <v>106</v>
      </c>
      <c r="N14" s="83" t="s">
        <v>99</v>
      </c>
      <c r="O14" s="84" t="s">
        <v>107</v>
      </c>
      <c r="P14" s="84">
        <v>0</v>
      </c>
      <c r="Q14" s="85" t="s">
        <v>47</v>
      </c>
      <c r="R14" s="86" t="s">
        <v>108</v>
      </c>
      <c r="S14" s="87" t="s">
        <v>86</v>
      </c>
      <c r="T14" s="87" t="s">
        <v>109</v>
      </c>
      <c r="U14" s="88" t="s">
        <v>102</v>
      </c>
    </row>
    <row r="15" spans="1:28" ht="27.75" customHeight="1" thickBot="1">
      <c r="E15" s="159"/>
      <c r="F15" s="161"/>
      <c r="G15" s="163">
        <f t="shared" ref="G15" si="4">G13+1</f>
        <v>6</v>
      </c>
      <c r="H15" s="143" t="s">
        <v>93</v>
      </c>
      <c r="I15" s="89" t="s">
        <v>111</v>
      </c>
      <c r="J15" s="80" t="s">
        <v>95</v>
      </c>
      <c r="K15" s="103" t="s">
        <v>125</v>
      </c>
      <c r="L15" s="81" t="s">
        <v>112</v>
      </c>
      <c r="M15" s="82" t="s">
        <v>113</v>
      </c>
      <c r="N15" s="83" t="s">
        <v>114</v>
      </c>
      <c r="O15" s="87" t="s">
        <v>100</v>
      </c>
      <c r="P15" s="84" t="s">
        <v>118</v>
      </c>
      <c r="Q15" s="85" t="s">
        <v>44</v>
      </c>
      <c r="R15" s="86" t="s">
        <v>108</v>
      </c>
      <c r="S15" s="87" t="s">
        <v>86</v>
      </c>
      <c r="T15" s="90" t="s">
        <v>119</v>
      </c>
      <c r="U15" s="88" t="s">
        <v>102</v>
      </c>
    </row>
    <row r="16" spans="1:28" ht="27.75" customHeight="1" thickBot="1">
      <c r="E16" s="159"/>
      <c r="F16" s="161"/>
      <c r="G16" s="172"/>
      <c r="H16" s="144" t="s">
        <v>104</v>
      </c>
      <c r="I16" s="104" t="s">
        <v>102</v>
      </c>
      <c r="J16" s="105" t="s">
        <v>95</v>
      </c>
      <c r="K16" s="106" t="s">
        <v>125</v>
      </c>
      <c r="L16" s="107" t="s">
        <v>112</v>
      </c>
      <c r="M16" s="108" t="s">
        <v>116</v>
      </c>
      <c r="N16" s="109" t="s">
        <v>114</v>
      </c>
      <c r="O16" s="110" t="s">
        <v>107</v>
      </c>
      <c r="P16" s="110" t="s">
        <v>45</v>
      </c>
      <c r="Q16" s="111" t="s">
        <v>44</v>
      </c>
      <c r="R16" s="112" t="s">
        <v>108</v>
      </c>
      <c r="S16" s="113" t="s">
        <v>86</v>
      </c>
      <c r="T16" s="114" t="s">
        <v>119</v>
      </c>
      <c r="U16" s="115" t="s">
        <v>102</v>
      </c>
    </row>
    <row r="17" spans="5:21" ht="27.75" customHeight="1" thickBot="1">
      <c r="E17" s="159"/>
      <c r="F17" s="164" t="s">
        <v>127</v>
      </c>
      <c r="G17" s="165">
        <f t="shared" ref="G17" si="5">G15+1</f>
        <v>7</v>
      </c>
      <c r="H17" s="145" t="s">
        <v>128</v>
      </c>
      <c r="I17" s="92" t="s">
        <v>111</v>
      </c>
      <c r="J17" s="93" t="s">
        <v>95</v>
      </c>
      <c r="K17" s="93" t="s">
        <v>96</v>
      </c>
      <c r="L17" s="95" t="s">
        <v>97</v>
      </c>
      <c r="M17" s="96" t="s">
        <v>98</v>
      </c>
      <c r="N17" s="97" t="s">
        <v>129</v>
      </c>
      <c r="O17" s="98" t="s">
        <v>100</v>
      </c>
      <c r="P17" s="99" t="s">
        <v>45</v>
      </c>
      <c r="Q17" s="100" t="s">
        <v>44</v>
      </c>
      <c r="R17" s="101" t="s">
        <v>101</v>
      </c>
      <c r="S17" s="98" t="s">
        <v>86</v>
      </c>
      <c r="T17" s="98" t="s">
        <v>48</v>
      </c>
      <c r="U17" s="102" t="s">
        <v>102</v>
      </c>
    </row>
    <row r="18" spans="5:21" ht="27.75" customHeight="1" thickBot="1">
      <c r="E18" s="159"/>
      <c r="F18" s="161"/>
      <c r="G18" s="166"/>
      <c r="H18" s="143" t="s">
        <v>130</v>
      </c>
      <c r="I18" s="79" t="s">
        <v>131</v>
      </c>
      <c r="J18" s="80" t="s">
        <v>95</v>
      </c>
      <c r="K18" s="80" t="s">
        <v>96</v>
      </c>
      <c r="L18" s="81" t="s">
        <v>97</v>
      </c>
      <c r="M18" s="82" t="s">
        <v>106</v>
      </c>
      <c r="N18" s="83" t="s">
        <v>129</v>
      </c>
      <c r="O18" s="84" t="s">
        <v>107</v>
      </c>
      <c r="P18" s="84">
        <v>0</v>
      </c>
      <c r="Q18" s="85" t="s">
        <v>132</v>
      </c>
      <c r="R18" s="86" t="s">
        <v>108</v>
      </c>
      <c r="S18" s="87" t="s">
        <v>86</v>
      </c>
      <c r="T18" s="87" t="s">
        <v>109</v>
      </c>
      <c r="U18" s="88" t="s">
        <v>133</v>
      </c>
    </row>
    <row r="19" spans="5:21" ht="25.5" customHeight="1" thickBot="1">
      <c r="E19" s="159"/>
      <c r="F19" s="161"/>
      <c r="G19" s="167">
        <f t="shared" ref="G19" si="6">G17+1</f>
        <v>8</v>
      </c>
      <c r="H19" s="143" t="s">
        <v>128</v>
      </c>
      <c r="I19" s="79" t="s">
        <v>111</v>
      </c>
      <c r="J19" s="80" t="s">
        <v>95</v>
      </c>
      <c r="K19" s="80" t="s">
        <v>96</v>
      </c>
      <c r="L19" s="81" t="s">
        <v>112</v>
      </c>
      <c r="M19" s="82" t="s">
        <v>113</v>
      </c>
      <c r="N19" s="83" t="s">
        <v>129</v>
      </c>
      <c r="O19" s="87" t="s">
        <v>100</v>
      </c>
      <c r="P19" s="84">
        <v>0</v>
      </c>
      <c r="Q19" s="85" t="s">
        <v>47</v>
      </c>
      <c r="R19" s="86" t="s">
        <v>108</v>
      </c>
      <c r="S19" s="87" t="s">
        <v>86</v>
      </c>
      <c r="T19" s="87" t="s">
        <v>109</v>
      </c>
      <c r="U19" s="88" t="s">
        <v>102</v>
      </c>
    </row>
    <row r="20" spans="5:21" ht="27.75" customHeight="1" thickBot="1">
      <c r="E20" s="159"/>
      <c r="F20" s="161"/>
      <c r="G20" s="166"/>
      <c r="H20" s="143" t="s">
        <v>130</v>
      </c>
      <c r="I20" s="79" t="s">
        <v>131</v>
      </c>
      <c r="J20" s="80" t="s">
        <v>95</v>
      </c>
      <c r="K20" s="80" t="s">
        <v>96</v>
      </c>
      <c r="L20" s="81" t="s">
        <v>112</v>
      </c>
      <c r="M20" s="82" t="s">
        <v>116</v>
      </c>
      <c r="N20" s="83" t="s">
        <v>129</v>
      </c>
      <c r="O20" s="84" t="s">
        <v>107</v>
      </c>
      <c r="P20" s="84">
        <v>0</v>
      </c>
      <c r="Q20" s="85" t="s">
        <v>47</v>
      </c>
      <c r="R20" s="86" t="s">
        <v>108</v>
      </c>
      <c r="S20" s="87" t="s">
        <v>86</v>
      </c>
      <c r="T20" s="87" t="s">
        <v>109</v>
      </c>
      <c r="U20" s="88" t="s">
        <v>133</v>
      </c>
    </row>
    <row r="21" spans="5:21" ht="27.75" customHeight="1" thickBot="1">
      <c r="E21" s="159"/>
      <c r="F21" s="161"/>
      <c r="G21" s="167">
        <f t="shared" ref="G21" si="7">G19+1</f>
        <v>9</v>
      </c>
      <c r="H21" s="143" t="s">
        <v>128</v>
      </c>
      <c r="I21" s="89" t="s">
        <v>111</v>
      </c>
      <c r="J21" s="80" t="s">
        <v>95</v>
      </c>
      <c r="K21" s="80" t="s">
        <v>96</v>
      </c>
      <c r="L21" s="81" t="s">
        <v>112</v>
      </c>
      <c r="M21" s="96" t="s">
        <v>98</v>
      </c>
      <c r="N21" s="97" t="s">
        <v>129</v>
      </c>
      <c r="O21" s="98" t="s">
        <v>100</v>
      </c>
      <c r="P21" s="99" t="s">
        <v>45</v>
      </c>
      <c r="Q21" s="100" t="s">
        <v>44</v>
      </c>
      <c r="R21" s="86" t="s">
        <v>108</v>
      </c>
      <c r="S21" s="87" t="s">
        <v>134</v>
      </c>
      <c r="T21" s="90" t="s">
        <v>119</v>
      </c>
      <c r="U21" s="88" t="s">
        <v>102</v>
      </c>
    </row>
    <row r="22" spans="5:21" ht="27.75" customHeight="1" thickBot="1">
      <c r="E22" s="159"/>
      <c r="F22" s="161"/>
      <c r="G22" s="166"/>
      <c r="H22" s="143" t="s">
        <v>130</v>
      </c>
      <c r="I22" s="79" t="s">
        <v>131</v>
      </c>
      <c r="J22" s="80" t="s">
        <v>95</v>
      </c>
      <c r="K22" s="80" t="s">
        <v>96</v>
      </c>
      <c r="L22" s="81" t="s">
        <v>112</v>
      </c>
      <c r="M22" s="82" t="s">
        <v>106</v>
      </c>
      <c r="N22" s="83" t="s">
        <v>129</v>
      </c>
      <c r="O22" s="84" t="s">
        <v>107</v>
      </c>
      <c r="P22" s="84">
        <v>0</v>
      </c>
      <c r="Q22" s="85" t="s">
        <v>132</v>
      </c>
      <c r="R22" s="86" t="s">
        <v>108</v>
      </c>
      <c r="S22" s="87" t="s">
        <v>134</v>
      </c>
      <c r="T22" s="90" t="s">
        <v>119</v>
      </c>
      <c r="U22" s="88" t="s">
        <v>133</v>
      </c>
    </row>
    <row r="23" spans="5:21" ht="27.75" customHeight="1" thickBot="1">
      <c r="E23" s="159"/>
      <c r="F23" s="161"/>
      <c r="G23" s="167">
        <f t="shared" ref="G23" si="8">G21+1</f>
        <v>10</v>
      </c>
      <c r="H23" s="143" t="s">
        <v>128</v>
      </c>
      <c r="I23" s="89" t="s">
        <v>111</v>
      </c>
      <c r="J23" s="80" t="s">
        <v>95</v>
      </c>
      <c r="K23" s="80" t="s">
        <v>96</v>
      </c>
      <c r="L23" s="81" t="s">
        <v>112</v>
      </c>
      <c r="M23" s="82" t="s">
        <v>113</v>
      </c>
      <c r="N23" s="83" t="s">
        <v>129</v>
      </c>
      <c r="O23" s="87" t="s">
        <v>100</v>
      </c>
      <c r="P23" s="84">
        <v>0</v>
      </c>
      <c r="Q23" s="85" t="s">
        <v>47</v>
      </c>
      <c r="R23" s="86" t="s">
        <v>108</v>
      </c>
      <c r="S23" s="87" t="s">
        <v>134</v>
      </c>
      <c r="T23" s="90" t="s">
        <v>119</v>
      </c>
      <c r="U23" s="88" t="s">
        <v>102</v>
      </c>
    </row>
    <row r="24" spans="5:21" ht="27.75" customHeight="1" thickBot="1">
      <c r="E24" s="159"/>
      <c r="F24" s="161"/>
      <c r="G24" s="166"/>
      <c r="H24" s="143" t="s">
        <v>130</v>
      </c>
      <c r="I24" s="79" t="s">
        <v>102</v>
      </c>
      <c r="J24" s="80" t="s">
        <v>95</v>
      </c>
      <c r="K24" s="80" t="s">
        <v>96</v>
      </c>
      <c r="L24" s="81" t="s">
        <v>112</v>
      </c>
      <c r="M24" s="82" t="s">
        <v>116</v>
      </c>
      <c r="N24" s="83" t="s">
        <v>129</v>
      </c>
      <c r="O24" s="84" t="s">
        <v>107</v>
      </c>
      <c r="P24" s="84">
        <v>0</v>
      </c>
      <c r="Q24" s="85" t="s">
        <v>47</v>
      </c>
      <c r="R24" s="86" t="s">
        <v>108</v>
      </c>
      <c r="S24" s="87" t="s">
        <v>134</v>
      </c>
      <c r="T24" s="90" t="s">
        <v>119</v>
      </c>
      <c r="U24" s="88" t="s">
        <v>123</v>
      </c>
    </row>
    <row r="25" spans="5:21" ht="27.75" customHeight="1" thickBot="1">
      <c r="E25" s="159"/>
      <c r="F25" s="161"/>
      <c r="G25" s="167">
        <f t="shared" ref="G25" si="9">G23+1</f>
        <v>11</v>
      </c>
      <c r="H25" s="143" t="s">
        <v>128</v>
      </c>
      <c r="I25" s="92" t="s">
        <v>111</v>
      </c>
      <c r="J25" s="93" t="s">
        <v>95</v>
      </c>
      <c r="K25" s="93" t="s">
        <v>96</v>
      </c>
      <c r="L25" s="95" t="s">
        <v>112</v>
      </c>
      <c r="M25" s="96" t="s">
        <v>113</v>
      </c>
      <c r="N25" s="97" t="s">
        <v>129</v>
      </c>
      <c r="O25" s="98" t="s">
        <v>100</v>
      </c>
      <c r="P25" s="99" t="s">
        <v>118</v>
      </c>
      <c r="Q25" s="100" t="s">
        <v>44</v>
      </c>
      <c r="R25" s="101" t="s">
        <v>108</v>
      </c>
      <c r="S25" s="116" t="s">
        <v>135</v>
      </c>
      <c r="T25" s="116" t="s">
        <v>119</v>
      </c>
      <c r="U25" s="102" t="s">
        <v>102</v>
      </c>
    </row>
    <row r="26" spans="5:21" ht="27.75" customHeight="1" thickBot="1">
      <c r="E26" s="159"/>
      <c r="F26" s="161"/>
      <c r="G26" s="166"/>
      <c r="H26" s="143" t="s">
        <v>130</v>
      </c>
      <c r="I26" s="89" t="s">
        <v>102</v>
      </c>
      <c r="J26" s="80" t="s">
        <v>95</v>
      </c>
      <c r="K26" s="80" t="s">
        <v>96</v>
      </c>
      <c r="L26" s="81" t="s">
        <v>112</v>
      </c>
      <c r="M26" s="82" t="s">
        <v>116</v>
      </c>
      <c r="N26" s="91" t="s">
        <v>136</v>
      </c>
      <c r="O26" s="84" t="s">
        <v>107</v>
      </c>
      <c r="P26" s="84" t="s">
        <v>45</v>
      </c>
      <c r="Q26" s="85" t="s">
        <v>44</v>
      </c>
      <c r="R26" s="86" t="s">
        <v>108</v>
      </c>
      <c r="S26" s="90" t="s">
        <v>135</v>
      </c>
      <c r="T26" s="90" t="s">
        <v>119</v>
      </c>
      <c r="U26" s="88" t="s">
        <v>136</v>
      </c>
    </row>
    <row r="27" spans="5:21" ht="27.75" customHeight="1" thickBot="1">
      <c r="E27" s="159"/>
      <c r="F27" s="161"/>
      <c r="G27" s="167">
        <f t="shared" ref="G27" si="10">G25+1</f>
        <v>12</v>
      </c>
      <c r="H27" s="143" t="s">
        <v>128</v>
      </c>
      <c r="I27" s="89" t="s">
        <v>111</v>
      </c>
      <c r="J27" s="80" t="s">
        <v>95</v>
      </c>
      <c r="K27" s="80" t="s">
        <v>96</v>
      </c>
      <c r="L27" s="81" t="s">
        <v>112</v>
      </c>
      <c r="M27" s="82" t="s">
        <v>113</v>
      </c>
      <c r="N27" s="83" t="s">
        <v>129</v>
      </c>
      <c r="O27" s="87" t="s">
        <v>100</v>
      </c>
      <c r="P27" s="84">
        <v>0</v>
      </c>
      <c r="Q27" s="85" t="s">
        <v>47</v>
      </c>
      <c r="R27" s="86" t="s">
        <v>108</v>
      </c>
      <c r="S27" s="90" t="s">
        <v>135</v>
      </c>
      <c r="T27" s="90" t="s">
        <v>119</v>
      </c>
      <c r="U27" s="88" t="s">
        <v>102</v>
      </c>
    </row>
    <row r="28" spans="5:21" ht="27.75" customHeight="1" thickBot="1">
      <c r="E28" s="159"/>
      <c r="F28" s="161"/>
      <c r="G28" s="166"/>
      <c r="H28" s="143" t="s">
        <v>130</v>
      </c>
      <c r="I28" s="79"/>
      <c r="J28" s="80" t="s">
        <v>95</v>
      </c>
      <c r="K28" s="80" t="s">
        <v>96</v>
      </c>
      <c r="L28" s="81" t="s">
        <v>112</v>
      </c>
      <c r="M28" s="82" t="s">
        <v>116</v>
      </c>
      <c r="N28" s="83" t="s">
        <v>129</v>
      </c>
      <c r="O28" s="84" t="s">
        <v>107</v>
      </c>
      <c r="P28" s="84">
        <v>0</v>
      </c>
      <c r="Q28" s="85" t="s">
        <v>47</v>
      </c>
      <c r="R28" s="86" t="s">
        <v>108</v>
      </c>
      <c r="S28" s="90" t="s">
        <v>135</v>
      </c>
      <c r="T28" s="90" t="s">
        <v>119</v>
      </c>
      <c r="U28" s="88"/>
    </row>
    <row r="29" spans="5:21" ht="27.75" customHeight="1" thickBot="1">
      <c r="E29" s="159"/>
      <c r="F29" s="161"/>
      <c r="G29" s="167">
        <f t="shared" ref="G29" si="11">G27+1</f>
        <v>13</v>
      </c>
      <c r="H29" s="143" t="s">
        <v>128</v>
      </c>
      <c r="I29" s="92" t="s">
        <v>137</v>
      </c>
      <c r="J29" s="93" t="s">
        <v>95</v>
      </c>
      <c r="K29" s="103" t="s">
        <v>125</v>
      </c>
      <c r="L29" s="95" t="s">
        <v>112</v>
      </c>
      <c r="M29" s="96" t="s">
        <v>113</v>
      </c>
      <c r="N29" s="97" t="s">
        <v>129</v>
      </c>
      <c r="O29" s="98" t="s">
        <v>100</v>
      </c>
      <c r="P29" s="99" t="s">
        <v>45</v>
      </c>
      <c r="Q29" s="100" t="s">
        <v>44</v>
      </c>
      <c r="R29" s="101"/>
      <c r="S29" s="116"/>
      <c r="T29" s="116"/>
      <c r="U29" s="102"/>
    </row>
    <row r="30" spans="5:21" ht="27.75" customHeight="1" thickBot="1">
      <c r="E30" s="159"/>
      <c r="F30" s="161"/>
      <c r="G30" s="168"/>
      <c r="H30" s="146" t="s">
        <v>130</v>
      </c>
      <c r="I30" s="117"/>
      <c r="J30" s="105"/>
      <c r="K30" s="110"/>
      <c r="L30" s="107"/>
      <c r="M30" s="108"/>
      <c r="N30" s="109"/>
      <c r="O30" s="110"/>
      <c r="P30" s="110"/>
      <c r="Q30" s="111"/>
      <c r="R30" s="112"/>
      <c r="S30" s="114"/>
      <c r="T30" s="114"/>
      <c r="U30" s="115"/>
    </row>
    <row r="31" spans="5:21" ht="27.75" customHeight="1" thickBot="1">
      <c r="E31" s="159"/>
      <c r="F31" s="164" t="s">
        <v>138</v>
      </c>
      <c r="G31" s="165">
        <f t="shared" ref="G31" si="12">G29+1</f>
        <v>14</v>
      </c>
      <c r="H31" s="145" t="s">
        <v>139</v>
      </c>
      <c r="I31" s="118" t="s">
        <v>140</v>
      </c>
      <c r="J31" s="93" t="s">
        <v>95</v>
      </c>
      <c r="K31" s="93" t="s">
        <v>96</v>
      </c>
      <c r="L31" s="95" t="s">
        <v>97</v>
      </c>
      <c r="M31" s="96" t="s">
        <v>98</v>
      </c>
      <c r="N31" s="97" t="s">
        <v>129</v>
      </c>
      <c r="O31" s="116" t="s">
        <v>141</v>
      </c>
      <c r="P31" s="99" t="s">
        <v>45</v>
      </c>
      <c r="Q31" s="100" t="s">
        <v>44</v>
      </c>
      <c r="R31" s="101" t="s">
        <v>101</v>
      </c>
      <c r="S31" s="98" t="s">
        <v>134</v>
      </c>
      <c r="T31" s="98" t="s">
        <v>48</v>
      </c>
      <c r="U31" s="119" t="s">
        <v>142</v>
      </c>
    </row>
    <row r="32" spans="5:21" ht="27.75" customHeight="1" thickBot="1">
      <c r="E32" s="159"/>
      <c r="F32" s="161"/>
      <c r="G32" s="166"/>
      <c r="H32" s="143" t="s">
        <v>143</v>
      </c>
      <c r="I32" s="79" t="s">
        <v>144</v>
      </c>
      <c r="J32" s="80" t="s">
        <v>95</v>
      </c>
      <c r="K32" s="80" t="s">
        <v>96</v>
      </c>
      <c r="L32" s="81" t="s">
        <v>97</v>
      </c>
      <c r="M32" s="82" t="s">
        <v>106</v>
      </c>
      <c r="N32" s="91" t="s">
        <v>145</v>
      </c>
      <c r="O32" s="84" t="s">
        <v>107</v>
      </c>
      <c r="P32" s="84">
        <v>0</v>
      </c>
      <c r="Q32" s="85" t="s">
        <v>146</v>
      </c>
      <c r="R32" s="86" t="s">
        <v>108</v>
      </c>
      <c r="S32" s="87" t="s">
        <v>134</v>
      </c>
      <c r="T32" s="87" t="s">
        <v>109</v>
      </c>
      <c r="U32" s="88" t="s">
        <v>147</v>
      </c>
    </row>
    <row r="33" spans="5:21" ht="27.75" customHeight="1" thickBot="1">
      <c r="E33" s="159"/>
      <c r="F33" s="161"/>
      <c r="G33" s="167">
        <f t="shared" ref="G33" si="13">G31+1</f>
        <v>15</v>
      </c>
      <c r="H33" s="143" t="s">
        <v>139</v>
      </c>
      <c r="I33" s="79" t="s">
        <v>140</v>
      </c>
      <c r="J33" s="80" t="s">
        <v>95</v>
      </c>
      <c r="K33" s="80" t="s">
        <v>96</v>
      </c>
      <c r="L33" s="81" t="s">
        <v>112</v>
      </c>
      <c r="M33" s="82" t="s">
        <v>113</v>
      </c>
      <c r="N33" s="83" t="s">
        <v>129</v>
      </c>
      <c r="O33" s="90" t="s">
        <v>148</v>
      </c>
      <c r="P33" s="84">
        <v>0</v>
      </c>
      <c r="Q33" s="85" t="s">
        <v>47</v>
      </c>
      <c r="R33" s="86" t="s">
        <v>108</v>
      </c>
      <c r="S33" s="87" t="s">
        <v>134</v>
      </c>
      <c r="T33" s="87" t="s">
        <v>109</v>
      </c>
      <c r="U33" s="120" t="s">
        <v>142</v>
      </c>
    </row>
    <row r="34" spans="5:21" ht="27.75" customHeight="1" thickBot="1">
      <c r="E34" s="159"/>
      <c r="F34" s="161"/>
      <c r="G34" s="166"/>
      <c r="H34" s="143" t="s">
        <v>143</v>
      </c>
      <c r="I34" s="79" t="s">
        <v>144</v>
      </c>
      <c r="J34" s="80" t="s">
        <v>95</v>
      </c>
      <c r="K34" s="80" t="s">
        <v>96</v>
      </c>
      <c r="L34" s="81" t="s">
        <v>112</v>
      </c>
      <c r="M34" s="82" t="s">
        <v>116</v>
      </c>
      <c r="N34" s="91" t="s">
        <v>145</v>
      </c>
      <c r="O34" s="84" t="s">
        <v>107</v>
      </c>
      <c r="P34" s="84">
        <v>0</v>
      </c>
      <c r="Q34" s="85" t="s">
        <v>47</v>
      </c>
      <c r="R34" s="86" t="s">
        <v>108</v>
      </c>
      <c r="S34" s="87" t="s">
        <v>134</v>
      </c>
      <c r="T34" s="87" t="s">
        <v>109</v>
      </c>
      <c r="U34" s="88" t="s">
        <v>149</v>
      </c>
    </row>
    <row r="35" spans="5:21" ht="27.75" customHeight="1" thickBot="1">
      <c r="E35" s="159"/>
      <c r="F35" s="161"/>
      <c r="G35" s="167">
        <f t="shared" ref="G35" si="14">G33+1</f>
        <v>16</v>
      </c>
      <c r="H35" s="143" t="s">
        <v>139</v>
      </c>
      <c r="I35" s="79" t="s">
        <v>140</v>
      </c>
      <c r="J35" s="80" t="s">
        <v>95</v>
      </c>
      <c r="K35" s="80" t="s">
        <v>96</v>
      </c>
      <c r="L35" s="81" t="s">
        <v>112</v>
      </c>
      <c r="M35" s="82" t="s">
        <v>113</v>
      </c>
      <c r="N35" s="83" t="s">
        <v>129</v>
      </c>
      <c r="O35" s="90" t="s">
        <v>148</v>
      </c>
      <c r="P35" s="84" t="s">
        <v>118</v>
      </c>
      <c r="Q35" s="85" t="s">
        <v>44</v>
      </c>
      <c r="R35" s="86" t="s">
        <v>108</v>
      </c>
      <c r="S35" s="87" t="s">
        <v>134</v>
      </c>
      <c r="T35" s="90" t="s">
        <v>119</v>
      </c>
      <c r="U35" s="120" t="s">
        <v>150</v>
      </c>
    </row>
    <row r="36" spans="5:21" ht="27.75" customHeight="1" thickBot="1">
      <c r="E36" s="159"/>
      <c r="F36" s="161"/>
      <c r="G36" s="166"/>
      <c r="H36" s="143" t="s">
        <v>143</v>
      </c>
      <c r="I36" s="79" t="s">
        <v>144</v>
      </c>
      <c r="J36" s="80" t="s">
        <v>95</v>
      </c>
      <c r="K36" s="80" t="s">
        <v>96</v>
      </c>
      <c r="L36" s="81" t="s">
        <v>112</v>
      </c>
      <c r="M36" s="82" t="s">
        <v>116</v>
      </c>
      <c r="N36" s="91" t="s">
        <v>145</v>
      </c>
      <c r="O36" s="84" t="s">
        <v>107</v>
      </c>
      <c r="P36" s="84">
        <v>0</v>
      </c>
      <c r="Q36" s="85" t="s">
        <v>146</v>
      </c>
      <c r="R36" s="86" t="s">
        <v>108</v>
      </c>
      <c r="S36" s="87" t="s">
        <v>134</v>
      </c>
      <c r="T36" s="87" t="s">
        <v>48</v>
      </c>
      <c r="U36" s="88" t="s">
        <v>149</v>
      </c>
    </row>
    <row r="37" spans="5:21" ht="27.75" customHeight="1" thickBot="1">
      <c r="E37" s="159"/>
      <c r="F37" s="161"/>
      <c r="G37" s="167">
        <f t="shared" ref="G37" si="15">G35+1</f>
        <v>17</v>
      </c>
      <c r="H37" s="143" t="s">
        <v>139</v>
      </c>
      <c r="I37" s="79" t="s">
        <v>140</v>
      </c>
      <c r="J37" s="80" t="s">
        <v>95</v>
      </c>
      <c r="K37" s="80" t="s">
        <v>96</v>
      </c>
      <c r="L37" s="81" t="s">
        <v>112</v>
      </c>
      <c r="M37" s="82" t="s">
        <v>113</v>
      </c>
      <c r="N37" s="83" t="s">
        <v>129</v>
      </c>
      <c r="O37" s="90" t="s">
        <v>148</v>
      </c>
      <c r="P37" s="84">
        <v>0</v>
      </c>
      <c r="Q37" s="85" t="s">
        <v>47</v>
      </c>
      <c r="R37" s="86" t="s">
        <v>108</v>
      </c>
      <c r="S37" s="87" t="s">
        <v>134</v>
      </c>
      <c r="T37" s="90" t="s">
        <v>119</v>
      </c>
      <c r="U37" s="120" t="s">
        <v>150</v>
      </c>
    </row>
    <row r="38" spans="5:21" ht="27.75" customHeight="1" thickBot="1">
      <c r="E38" s="159"/>
      <c r="F38" s="161"/>
      <c r="G38" s="166"/>
      <c r="H38" s="143" t="s">
        <v>143</v>
      </c>
      <c r="I38" s="79" t="s">
        <v>144</v>
      </c>
      <c r="J38" s="80" t="s">
        <v>95</v>
      </c>
      <c r="K38" s="80" t="s">
        <v>96</v>
      </c>
      <c r="L38" s="81" t="s">
        <v>112</v>
      </c>
      <c r="M38" s="82" t="s">
        <v>116</v>
      </c>
      <c r="N38" s="91" t="s">
        <v>145</v>
      </c>
      <c r="O38" s="84" t="s">
        <v>107</v>
      </c>
      <c r="P38" s="84">
        <v>0</v>
      </c>
      <c r="Q38" s="85" t="s">
        <v>47</v>
      </c>
      <c r="R38" s="86" t="s">
        <v>108</v>
      </c>
      <c r="S38" s="87" t="s">
        <v>134</v>
      </c>
      <c r="T38" s="87" t="s">
        <v>48</v>
      </c>
      <c r="U38" s="88" t="s">
        <v>149</v>
      </c>
    </row>
    <row r="39" spans="5:21" ht="27.75" customHeight="1" thickBot="1">
      <c r="E39" s="159"/>
      <c r="F39" s="161"/>
      <c r="G39" s="167">
        <f t="shared" ref="G39" si="16">G37+1</f>
        <v>18</v>
      </c>
      <c r="H39" s="143" t="s">
        <v>139</v>
      </c>
      <c r="I39" s="79" t="s">
        <v>140</v>
      </c>
      <c r="J39" s="80" t="s">
        <v>95</v>
      </c>
      <c r="K39" s="80" t="s">
        <v>96</v>
      </c>
      <c r="L39" s="81" t="s">
        <v>97</v>
      </c>
      <c r="M39" s="82" t="s">
        <v>98</v>
      </c>
      <c r="N39" s="83" t="s">
        <v>129</v>
      </c>
      <c r="O39" s="90" t="s">
        <v>141</v>
      </c>
      <c r="P39" s="84" t="s">
        <v>45</v>
      </c>
      <c r="Q39" s="85" t="s">
        <v>44</v>
      </c>
      <c r="R39" s="86" t="s">
        <v>101</v>
      </c>
      <c r="S39" s="90" t="s">
        <v>135</v>
      </c>
      <c r="T39" s="87" t="s">
        <v>48</v>
      </c>
      <c r="U39" s="120" t="s">
        <v>151</v>
      </c>
    </row>
    <row r="40" spans="5:21" ht="27.75" customHeight="1" thickBot="1">
      <c r="E40" s="159"/>
      <c r="F40" s="161"/>
      <c r="G40" s="166"/>
      <c r="H40" s="143" t="s">
        <v>143</v>
      </c>
      <c r="I40" s="79" t="s">
        <v>144</v>
      </c>
      <c r="J40" s="80" t="s">
        <v>95</v>
      </c>
      <c r="K40" s="80" t="s">
        <v>96</v>
      </c>
      <c r="L40" s="81" t="s">
        <v>97</v>
      </c>
      <c r="M40" s="82" t="s">
        <v>106</v>
      </c>
      <c r="N40" s="91" t="s">
        <v>145</v>
      </c>
      <c r="O40" s="84" t="s">
        <v>107</v>
      </c>
      <c r="P40" s="84">
        <v>0</v>
      </c>
      <c r="Q40" s="85" t="s">
        <v>146</v>
      </c>
      <c r="R40" s="86" t="s">
        <v>108</v>
      </c>
      <c r="S40" s="90" t="s">
        <v>135</v>
      </c>
      <c r="T40" s="87" t="s">
        <v>109</v>
      </c>
      <c r="U40" s="88" t="s">
        <v>147</v>
      </c>
    </row>
    <row r="41" spans="5:21" ht="27.75" customHeight="1" thickBot="1">
      <c r="E41" s="159"/>
      <c r="F41" s="161"/>
      <c r="G41" s="167">
        <f t="shared" ref="G41" si="17">G39+1</f>
        <v>19</v>
      </c>
      <c r="H41" s="143" t="s">
        <v>139</v>
      </c>
      <c r="I41" s="79" t="s">
        <v>140</v>
      </c>
      <c r="J41" s="80" t="s">
        <v>95</v>
      </c>
      <c r="K41" s="80" t="s">
        <v>96</v>
      </c>
      <c r="L41" s="81" t="s">
        <v>112</v>
      </c>
      <c r="M41" s="82" t="s">
        <v>113</v>
      </c>
      <c r="N41" s="83" t="s">
        <v>129</v>
      </c>
      <c r="O41" s="90" t="s">
        <v>148</v>
      </c>
      <c r="P41" s="84">
        <v>0</v>
      </c>
      <c r="Q41" s="85" t="s">
        <v>47</v>
      </c>
      <c r="R41" s="86" t="s">
        <v>108</v>
      </c>
      <c r="S41" s="90" t="s">
        <v>135</v>
      </c>
      <c r="T41" s="87" t="s">
        <v>109</v>
      </c>
      <c r="U41" s="120" t="s">
        <v>151</v>
      </c>
    </row>
    <row r="42" spans="5:21" ht="27.75" customHeight="1" thickBot="1">
      <c r="E42" s="159"/>
      <c r="F42" s="161"/>
      <c r="G42" s="166"/>
      <c r="H42" s="143" t="s">
        <v>143</v>
      </c>
      <c r="I42" s="79" t="s">
        <v>144</v>
      </c>
      <c r="J42" s="80" t="s">
        <v>95</v>
      </c>
      <c r="K42" s="80" t="s">
        <v>96</v>
      </c>
      <c r="L42" s="81" t="s">
        <v>112</v>
      </c>
      <c r="M42" s="82" t="s">
        <v>116</v>
      </c>
      <c r="N42" s="91" t="s">
        <v>145</v>
      </c>
      <c r="O42" s="84" t="s">
        <v>107</v>
      </c>
      <c r="P42" s="84">
        <v>0</v>
      </c>
      <c r="Q42" s="85" t="s">
        <v>47</v>
      </c>
      <c r="R42" s="86" t="s">
        <v>108</v>
      </c>
      <c r="S42" s="90" t="s">
        <v>135</v>
      </c>
      <c r="T42" s="87" t="s">
        <v>109</v>
      </c>
      <c r="U42" s="88" t="s">
        <v>147</v>
      </c>
    </row>
    <row r="43" spans="5:21" ht="27.75" customHeight="1" thickBot="1">
      <c r="E43" s="159"/>
      <c r="F43" s="161"/>
      <c r="G43" s="167">
        <f t="shared" ref="G43" si="18">G41+1</f>
        <v>20</v>
      </c>
      <c r="H43" s="143" t="s">
        <v>139</v>
      </c>
      <c r="I43" s="79" t="s">
        <v>140</v>
      </c>
      <c r="J43" s="80" t="s">
        <v>95</v>
      </c>
      <c r="K43" s="80" t="s">
        <v>96</v>
      </c>
      <c r="L43" s="81" t="s">
        <v>112</v>
      </c>
      <c r="M43" s="82" t="s">
        <v>113</v>
      </c>
      <c r="N43" s="83" t="s">
        <v>129</v>
      </c>
      <c r="O43" s="90" t="s">
        <v>148</v>
      </c>
      <c r="P43" s="84" t="s">
        <v>118</v>
      </c>
      <c r="Q43" s="85" t="s">
        <v>44</v>
      </c>
      <c r="R43" s="86" t="s">
        <v>108</v>
      </c>
      <c r="S43" s="90" t="s">
        <v>135</v>
      </c>
      <c r="T43" s="90" t="s">
        <v>119</v>
      </c>
      <c r="U43" s="120" t="s">
        <v>152</v>
      </c>
    </row>
    <row r="44" spans="5:21" ht="27.75" customHeight="1" thickBot="1">
      <c r="E44" s="159"/>
      <c r="F44" s="161"/>
      <c r="G44" s="166"/>
      <c r="H44" s="143" t="s">
        <v>143</v>
      </c>
      <c r="I44" s="89" t="s">
        <v>102</v>
      </c>
      <c r="J44" s="80" t="s">
        <v>95</v>
      </c>
      <c r="K44" s="80" t="s">
        <v>96</v>
      </c>
      <c r="L44" s="81" t="s">
        <v>112</v>
      </c>
      <c r="M44" s="82" t="s">
        <v>116</v>
      </c>
      <c r="N44" s="91" t="s">
        <v>136</v>
      </c>
      <c r="O44" s="84" t="s">
        <v>107</v>
      </c>
      <c r="P44" s="84" t="s">
        <v>45</v>
      </c>
      <c r="Q44" s="85" t="s">
        <v>44</v>
      </c>
      <c r="R44" s="86" t="s">
        <v>108</v>
      </c>
      <c r="S44" s="90" t="s">
        <v>135</v>
      </c>
      <c r="T44" s="90" t="s">
        <v>119</v>
      </c>
      <c r="U44" s="88" t="s">
        <v>136</v>
      </c>
    </row>
    <row r="45" spans="5:21" ht="27.75" customHeight="1" thickBot="1">
      <c r="E45" s="159"/>
      <c r="F45" s="161"/>
      <c r="G45" s="167">
        <f t="shared" ref="G45" si="19">G43+1</f>
        <v>21</v>
      </c>
      <c r="H45" s="143" t="s">
        <v>139</v>
      </c>
      <c r="I45" s="79" t="s">
        <v>140</v>
      </c>
      <c r="J45" s="80" t="s">
        <v>95</v>
      </c>
      <c r="K45" s="80" t="s">
        <v>96</v>
      </c>
      <c r="L45" s="81" t="s">
        <v>112</v>
      </c>
      <c r="M45" s="82" t="s">
        <v>113</v>
      </c>
      <c r="N45" s="83" t="s">
        <v>129</v>
      </c>
      <c r="O45" s="90" t="s">
        <v>148</v>
      </c>
      <c r="P45" s="84">
        <v>0</v>
      </c>
      <c r="Q45" s="85" t="s">
        <v>47</v>
      </c>
      <c r="R45" s="86" t="s">
        <v>108</v>
      </c>
      <c r="S45" s="90" t="s">
        <v>135</v>
      </c>
      <c r="T45" s="90" t="s">
        <v>119</v>
      </c>
      <c r="U45" s="120" t="s">
        <v>102</v>
      </c>
    </row>
    <row r="46" spans="5:21" ht="27.75" customHeight="1" thickBot="1">
      <c r="E46" s="159"/>
      <c r="F46" s="161"/>
      <c r="G46" s="166"/>
      <c r="H46" s="143" t="s">
        <v>143</v>
      </c>
      <c r="I46" s="89" t="s">
        <v>102</v>
      </c>
      <c r="J46" s="80" t="s">
        <v>95</v>
      </c>
      <c r="K46" s="80" t="s">
        <v>96</v>
      </c>
      <c r="L46" s="81" t="s">
        <v>112</v>
      </c>
      <c r="M46" s="82" t="s">
        <v>116</v>
      </c>
      <c r="N46" s="91" t="s">
        <v>145</v>
      </c>
      <c r="O46" s="84" t="s">
        <v>107</v>
      </c>
      <c r="P46" s="84">
        <v>0</v>
      </c>
      <c r="Q46" s="85" t="s">
        <v>47</v>
      </c>
      <c r="R46" s="86" t="s">
        <v>108</v>
      </c>
      <c r="S46" s="90" t="s">
        <v>135</v>
      </c>
      <c r="T46" s="90" t="s">
        <v>119</v>
      </c>
      <c r="U46" s="88" t="s">
        <v>147</v>
      </c>
    </row>
    <row r="47" spans="5:21" ht="27.75" customHeight="1" thickBot="1">
      <c r="E47" s="159"/>
      <c r="F47" s="161"/>
      <c r="G47" s="167">
        <f t="shared" ref="G47" si="20">G45+1</f>
        <v>22</v>
      </c>
      <c r="H47" s="143" t="s">
        <v>139</v>
      </c>
      <c r="I47" s="89" t="s">
        <v>137</v>
      </c>
      <c r="J47" s="80" t="s">
        <v>95</v>
      </c>
      <c r="K47" s="103" t="s">
        <v>125</v>
      </c>
      <c r="L47" s="81" t="s">
        <v>112</v>
      </c>
      <c r="M47" s="82" t="s">
        <v>113</v>
      </c>
      <c r="N47" s="83" t="s">
        <v>129</v>
      </c>
      <c r="O47" s="90" t="s">
        <v>148</v>
      </c>
      <c r="P47" s="84" t="s">
        <v>45</v>
      </c>
      <c r="Q47" s="85" t="s">
        <v>44</v>
      </c>
      <c r="R47" s="86"/>
      <c r="S47" s="90"/>
      <c r="T47" s="90"/>
      <c r="U47" s="120"/>
    </row>
    <row r="48" spans="5:21" ht="27.75" customHeight="1" thickBot="1">
      <c r="E48" s="159"/>
      <c r="F48" s="161"/>
      <c r="G48" s="168"/>
      <c r="H48" s="146" t="s">
        <v>143</v>
      </c>
      <c r="I48" s="104"/>
      <c r="J48" s="105"/>
      <c r="K48" s="110"/>
      <c r="L48" s="107"/>
      <c r="M48" s="108"/>
      <c r="N48" s="109"/>
      <c r="O48" s="110"/>
      <c r="P48" s="110"/>
      <c r="Q48" s="111"/>
      <c r="R48" s="112"/>
      <c r="S48" s="114"/>
      <c r="T48" s="114"/>
      <c r="U48" s="115"/>
    </row>
    <row r="49" spans="5:21" ht="27.75" customHeight="1" thickTop="1" thickBot="1">
      <c r="E49" s="159" t="s">
        <v>55</v>
      </c>
      <c r="F49" s="164" t="s">
        <v>153</v>
      </c>
      <c r="G49" s="165">
        <f t="shared" ref="G49" si="21">G47+1</f>
        <v>23</v>
      </c>
      <c r="H49" s="142" t="s">
        <v>93</v>
      </c>
      <c r="I49" s="121" t="s">
        <v>94</v>
      </c>
      <c r="J49" s="122" t="s">
        <v>95</v>
      </c>
      <c r="K49" s="122" t="s">
        <v>96</v>
      </c>
      <c r="L49" s="123" t="s">
        <v>97</v>
      </c>
      <c r="M49" s="124" t="s">
        <v>98</v>
      </c>
      <c r="N49" s="125" t="s">
        <v>99</v>
      </c>
      <c r="O49" s="126" t="s">
        <v>100</v>
      </c>
      <c r="P49" s="127" t="s">
        <v>45</v>
      </c>
      <c r="Q49" s="128" t="s">
        <v>44</v>
      </c>
      <c r="R49" s="129" t="s">
        <v>55</v>
      </c>
      <c r="S49" s="126" t="s">
        <v>45</v>
      </c>
      <c r="T49" s="126" t="s">
        <v>154</v>
      </c>
      <c r="U49" s="130" t="s">
        <v>102</v>
      </c>
    </row>
    <row r="50" spans="5:21" ht="27.75" customHeight="1" thickBot="1">
      <c r="E50" s="159"/>
      <c r="F50" s="161"/>
      <c r="G50" s="166"/>
      <c r="H50" s="143" t="s">
        <v>104</v>
      </c>
      <c r="I50" s="79" t="s">
        <v>105</v>
      </c>
      <c r="J50" s="80" t="s">
        <v>95</v>
      </c>
      <c r="K50" s="80" t="s">
        <v>96</v>
      </c>
      <c r="L50" s="81" t="s">
        <v>97</v>
      </c>
      <c r="M50" s="82" t="s">
        <v>106</v>
      </c>
      <c r="N50" s="83" t="s">
        <v>99</v>
      </c>
      <c r="O50" s="84" t="s">
        <v>107</v>
      </c>
      <c r="P50" s="84">
        <v>0</v>
      </c>
      <c r="Q50" s="85" t="s">
        <v>47</v>
      </c>
      <c r="R50" s="86" t="s">
        <v>55</v>
      </c>
      <c r="S50" s="87" t="s">
        <v>45</v>
      </c>
      <c r="T50" s="87" t="s">
        <v>154</v>
      </c>
      <c r="U50" s="88" t="s">
        <v>102</v>
      </c>
    </row>
    <row r="51" spans="5:21" ht="27.75" customHeight="1" thickBot="1">
      <c r="E51" s="159"/>
      <c r="F51" s="161"/>
      <c r="G51" s="167">
        <f t="shared" ref="G51" si="22">G49+1</f>
        <v>24</v>
      </c>
      <c r="H51" s="143" t="s">
        <v>93</v>
      </c>
      <c r="I51" s="89" t="s">
        <v>111</v>
      </c>
      <c r="J51" s="80" t="s">
        <v>95</v>
      </c>
      <c r="K51" s="80" t="s">
        <v>96</v>
      </c>
      <c r="L51" s="81" t="s">
        <v>112</v>
      </c>
      <c r="M51" s="82" t="s">
        <v>113</v>
      </c>
      <c r="N51" s="83" t="s">
        <v>114</v>
      </c>
      <c r="O51" s="87" t="s">
        <v>100</v>
      </c>
      <c r="P51" s="84">
        <v>0</v>
      </c>
      <c r="Q51" s="85" t="s">
        <v>47</v>
      </c>
      <c r="R51" s="86" t="s">
        <v>55</v>
      </c>
      <c r="S51" s="87" t="s">
        <v>45</v>
      </c>
      <c r="T51" s="87" t="s">
        <v>154</v>
      </c>
      <c r="U51" s="88" t="s">
        <v>102</v>
      </c>
    </row>
    <row r="52" spans="5:21" ht="27.75" customHeight="1" thickBot="1">
      <c r="E52" s="159"/>
      <c r="F52" s="161"/>
      <c r="G52" s="168"/>
      <c r="H52" s="143" t="s">
        <v>104</v>
      </c>
      <c r="I52" s="117" t="s">
        <v>102</v>
      </c>
      <c r="J52" s="105" t="s">
        <v>95</v>
      </c>
      <c r="K52" s="105" t="s">
        <v>96</v>
      </c>
      <c r="L52" s="107" t="s">
        <v>112</v>
      </c>
      <c r="M52" s="108" t="s">
        <v>116</v>
      </c>
      <c r="N52" s="109" t="s">
        <v>114</v>
      </c>
      <c r="O52" s="110" t="s">
        <v>107</v>
      </c>
      <c r="P52" s="110">
        <v>0</v>
      </c>
      <c r="Q52" s="111" t="s">
        <v>47</v>
      </c>
      <c r="R52" s="112" t="s">
        <v>55</v>
      </c>
      <c r="S52" s="113" t="s">
        <v>45</v>
      </c>
      <c r="T52" s="113" t="s">
        <v>154</v>
      </c>
      <c r="U52" s="115" t="s">
        <v>102</v>
      </c>
    </row>
    <row r="53" spans="5:21" ht="27.75" customHeight="1" thickBot="1">
      <c r="E53" s="159"/>
      <c r="F53" s="164" t="s">
        <v>155</v>
      </c>
      <c r="G53" s="165">
        <f t="shared" ref="G53" si="23">G51+1</f>
        <v>25</v>
      </c>
      <c r="H53" s="145" t="s">
        <v>128</v>
      </c>
      <c r="I53" s="131" t="s">
        <v>111</v>
      </c>
      <c r="J53" s="122" t="s">
        <v>95</v>
      </c>
      <c r="K53" s="122" t="s">
        <v>96</v>
      </c>
      <c r="L53" s="123" t="s">
        <v>112</v>
      </c>
      <c r="M53" s="124" t="s">
        <v>98</v>
      </c>
      <c r="N53" s="125" t="s">
        <v>129</v>
      </c>
      <c r="O53" s="126" t="s">
        <v>100</v>
      </c>
      <c r="P53" s="127" t="s">
        <v>45</v>
      </c>
      <c r="Q53" s="128" t="s">
        <v>44</v>
      </c>
      <c r="R53" s="129" t="s">
        <v>55</v>
      </c>
      <c r="S53" s="126" t="s">
        <v>45</v>
      </c>
      <c r="T53" s="126" t="s">
        <v>154</v>
      </c>
      <c r="U53" s="132" t="s">
        <v>102</v>
      </c>
    </row>
    <row r="54" spans="5:21" ht="27.75" customHeight="1" thickBot="1">
      <c r="E54" s="159"/>
      <c r="F54" s="161"/>
      <c r="G54" s="166"/>
      <c r="H54" s="143" t="s">
        <v>130</v>
      </c>
      <c r="I54" s="79" t="s">
        <v>102</v>
      </c>
      <c r="J54" s="80" t="s">
        <v>95</v>
      </c>
      <c r="K54" s="80" t="s">
        <v>96</v>
      </c>
      <c r="L54" s="81" t="s">
        <v>112</v>
      </c>
      <c r="M54" s="82" t="s">
        <v>106</v>
      </c>
      <c r="N54" s="91" t="s">
        <v>123</v>
      </c>
      <c r="O54" s="84"/>
      <c r="P54" s="84"/>
      <c r="Q54" s="85"/>
      <c r="R54" s="86" t="s">
        <v>55</v>
      </c>
      <c r="S54" s="87" t="s">
        <v>45</v>
      </c>
      <c r="T54" s="87" t="s">
        <v>154</v>
      </c>
      <c r="U54" s="88" t="s">
        <v>123</v>
      </c>
    </row>
    <row r="55" spans="5:21" ht="27.75" customHeight="1" thickBot="1">
      <c r="E55" s="159"/>
      <c r="F55" s="161"/>
      <c r="G55" s="167">
        <f t="shared" ref="G55" si="24">G53+1</f>
        <v>26</v>
      </c>
      <c r="H55" s="143" t="s">
        <v>128</v>
      </c>
      <c r="I55" s="89" t="s">
        <v>111</v>
      </c>
      <c r="J55" s="80" t="s">
        <v>95</v>
      </c>
      <c r="K55" s="80" t="s">
        <v>96</v>
      </c>
      <c r="L55" s="81" t="s">
        <v>112</v>
      </c>
      <c r="M55" s="82" t="s">
        <v>113</v>
      </c>
      <c r="N55" s="83" t="s">
        <v>129</v>
      </c>
      <c r="O55" s="87" t="s">
        <v>100</v>
      </c>
      <c r="P55" s="84">
        <v>0</v>
      </c>
      <c r="Q55" s="85" t="s">
        <v>47</v>
      </c>
      <c r="R55" s="86" t="s">
        <v>55</v>
      </c>
      <c r="S55" s="87" t="s">
        <v>45</v>
      </c>
      <c r="T55" s="87" t="s">
        <v>154</v>
      </c>
      <c r="U55" s="120" t="s">
        <v>102</v>
      </c>
    </row>
    <row r="56" spans="5:21" ht="27.75" customHeight="1" thickBot="1">
      <c r="E56" s="159"/>
      <c r="F56" s="161"/>
      <c r="G56" s="168"/>
      <c r="H56" s="143" t="s">
        <v>130</v>
      </c>
      <c r="I56" s="117" t="s">
        <v>102</v>
      </c>
      <c r="J56" s="105" t="s">
        <v>95</v>
      </c>
      <c r="K56" s="105" t="s">
        <v>96</v>
      </c>
      <c r="L56" s="107" t="s">
        <v>112</v>
      </c>
      <c r="M56" s="108" t="s">
        <v>116</v>
      </c>
      <c r="N56" s="133" t="s">
        <v>136</v>
      </c>
      <c r="O56" s="110" t="s">
        <v>107</v>
      </c>
      <c r="P56" s="110">
        <v>0</v>
      </c>
      <c r="Q56" s="111" t="s">
        <v>47</v>
      </c>
      <c r="R56" s="112" t="s">
        <v>55</v>
      </c>
      <c r="S56" s="113" t="s">
        <v>45</v>
      </c>
      <c r="T56" s="113" t="s">
        <v>154</v>
      </c>
      <c r="U56" s="115" t="s">
        <v>136</v>
      </c>
    </row>
    <row r="57" spans="5:21" ht="27.75" customHeight="1" thickBot="1">
      <c r="E57" s="159"/>
      <c r="F57" s="164" t="s">
        <v>156</v>
      </c>
      <c r="G57" s="169">
        <f t="shared" ref="G57" si="25">G55+1</f>
        <v>27</v>
      </c>
      <c r="H57" s="145" t="s">
        <v>139</v>
      </c>
      <c r="I57" s="118" t="s">
        <v>157</v>
      </c>
      <c r="J57" s="93" t="s">
        <v>95</v>
      </c>
      <c r="K57" s="93" t="s">
        <v>96</v>
      </c>
      <c r="L57" s="95" t="s">
        <v>97</v>
      </c>
      <c r="M57" s="96" t="s">
        <v>98</v>
      </c>
      <c r="N57" s="97" t="s">
        <v>129</v>
      </c>
      <c r="O57" s="116" t="s">
        <v>141</v>
      </c>
      <c r="P57" s="99" t="s">
        <v>45</v>
      </c>
      <c r="Q57" s="100" t="s">
        <v>44</v>
      </c>
      <c r="R57" s="101" t="s">
        <v>55</v>
      </c>
      <c r="S57" s="98" t="s">
        <v>45</v>
      </c>
      <c r="T57" s="98" t="s">
        <v>154</v>
      </c>
      <c r="U57" s="119" t="s">
        <v>102</v>
      </c>
    </row>
    <row r="58" spans="5:21" ht="27.75" customHeight="1" thickBot="1">
      <c r="E58" s="159"/>
      <c r="F58" s="161"/>
      <c r="G58" s="166"/>
      <c r="H58" s="143" t="s">
        <v>143</v>
      </c>
      <c r="I58" s="79" t="s">
        <v>102</v>
      </c>
      <c r="J58" s="80" t="s">
        <v>95</v>
      </c>
      <c r="K58" s="80" t="s">
        <v>96</v>
      </c>
      <c r="L58" s="81" t="s">
        <v>97</v>
      </c>
      <c r="M58" s="82" t="s">
        <v>106</v>
      </c>
      <c r="N58" s="91" t="s">
        <v>123</v>
      </c>
      <c r="O58" s="84"/>
      <c r="P58" s="84"/>
      <c r="Q58" s="85"/>
      <c r="R58" s="86" t="s">
        <v>55</v>
      </c>
      <c r="S58" s="87" t="s">
        <v>45</v>
      </c>
      <c r="T58" s="87" t="s">
        <v>154</v>
      </c>
      <c r="U58" s="88" t="s">
        <v>123</v>
      </c>
    </row>
    <row r="59" spans="5:21" ht="27.75" customHeight="1" thickBot="1">
      <c r="E59" s="159"/>
      <c r="F59" s="161"/>
      <c r="G59" s="167">
        <f t="shared" ref="G59" si="26">G57+1</f>
        <v>28</v>
      </c>
      <c r="H59" s="143" t="s">
        <v>139</v>
      </c>
      <c r="I59" s="79" t="s">
        <v>157</v>
      </c>
      <c r="J59" s="80" t="s">
        <v>95</v>
      </c>
      <c r="K59" s="80" t="s">
        <v>96</v>
      </c>
      <c r="L59" s="81" t="s">
        <v>112</v>
      </c>
      <c r="M59" s="82" t="s">
        <v>113</v>
      </c>
      <c r="N59" s="83" t="s">
        <v>129</v>
      </c>
      <c r="O59" s="90" t="s">
        <v>148</v>
      </c>
      <c r="P59" s="84">
        <v>0</v>
      </c>
      <c r="Q59" s="85" t="s">
        <v>47</v>
      </c>
      <c r="R59" s="86" t="s">
        <v>55</v>
      </c>
      <c r="S59" s="87" t="s">
        <v>45</v>
      </c>
      <c r="T59" s="87" t="s">
        <v>154</v>
      </c>
      <c r="U59" s="120" t="s">
        <v>102</v>
      </c>
    </row>
    <row r="60" spans="5:21" ht="27.75" customHeight="1" thickBot="1">
      <c r="E60" s="159"/>
      <c r="F60" s="161"/>
      <c r="G60" s="168"/>
      <c r="H60" s="144" t="s">
        <v>143</v>
      </c>
      <c r="I60" s="117" t="s">
        <v>102</v>
      </c>
      <c r="J60" s="105" t="s">
        <v>95</v>
      </c>
      <c r="K60" s="105" t="s">
        <v>96</v>
      </c>
      <c r="L60" s="107" t="s">
        <v>112</v>
      </c>
      <c r="M60" s="108" t="s">
        <v>116</v>
      </c>
      <c r="N60" s="133" t="s">
        <v>136</v>
      </c>
      <c r="O60" s="110" t="s">
        <v>107</v>
      </c>
      <c r="P60" s="110">
        <v>0</v>
      </c>
      <c r="Q60" s="111" t="s">
        <v>47</v>
      </c>
      <c r="R60" s="112" t="s">
        <v>55</v>
      </c>
      <c r="S60" s="113" t="s">
        <v>45</v>
      </c>
      <c r="T60" s="113" t="s">
        <v>154</v>
      </c>
      <c r="U60" s="115" t="s">
        <v>136</v>
      </c>
    </row>
    <row r="61" spans="5:21" ht="27.75" customHeight="1" thickBot="1">
      <c r="E61" s="170" t="s">
        <v>158</v>
      </c>
      <c r="F61" s="164" t="s">
        <v>153</v>
      </c>
      <c r="G61" s="165">
        <f t="shared" ref="G61" si="27">G59+1</f>
        <v>29</v>
      </c>
      <c r="H61" s="145" t="s">
        <v>93</v>
      </c>
      <c r="I61" s="92" t="s">
        <v>94</v>
      </c>
      <c r="J61" s="93" t="s">
        <v>95</v>
      </c>
      <c r="K61" s="93" t="s">
        <v>159</v>
      </c>
      <c r="L61" s="95" t="s">
        <v>97</v>
      </c>
      <c r="M61" s="96" t="s">
        <v>98</v>
      </c>
      <c r="N61" s="97" t="s">
        <v>99</v>
      </c>
      <c r="O61" s="98" t="s">
        <v>100</v>
      </c>
      <c r="P61" s="99" t="s">
        <v>45</v>
      </c>
      <c r="Q61" s="100" t="s">
        <v>44</v>
      </c>
      <c r="R61" s="101" t="s">
        <v>160</v>
      </c>
      <c r="S61" s="98" t="s">
        <v>45</v>
      </c>
      <c r="T61" s="98" t="s">
        <v>161</v>
      </c>
      <c r="U61" s="119" t="s">
        <v>162</v>
      </c>
    </row>
    <row r="62" spans="5:21" ht="27.75" customHeight="1" thickBot="1">
      <c r="E62" s="159"/>
      <c r="F62" s="161"/>
      <c r="G62" s="166"/>
      <c r="H62" s="143" t="s">
        <v>104</v>
      </c>
      <c r="I62" s="79" t="s">
        <v>105</v>
      </c>
      <c r="J62" s="80" t="s">
        <v>95</v>
      </c>
      <c r="K62" s="80" t="s">
        <v>159</v>
      </c>
      <c r="L62" s="81" t="s">
        <v>97</v>
      </c>
      <c r="M62" s="82" t="s">
        <v>106</v>
      </c>
      <c r="N62" s="83" t="s">
        <v>99</v>
      </c>
      <c r="O62" s="84" t="s">
        <v>107</v>
      </c>
      <c r="P62" s="84">
        <v>0</v>
      </c>
      <c r="Q62" s="85" t="s">
        <v>47</v>
      </c>
      <c r="R62" s="86" t="s">
        <v>160</v>
      </c>
      <c r="S62" s="87" t="s">
        <v>45</v>
      </c>
      <c r="T62" s="87" t="s">
        <v>154</v>
      </c>
      <c r="U62" s="88" t="s">
        <v>102</v>
      </c>
    </row>
    <row r="63" spans="5:21" ht="27.75" customHeight="1" thickBot="1">
      <c r="E63" s="159"/>
      <c r="F63" s="161"/>
      <c r="G63" s="167">
        <f t="shared" ref="G63:G65" si="28">G59+1</f>
        <v>29</v>
      </c>
      <c r="H63" s="143" t="s">
        <v>93</v>
      </c>
      <c r="I63" s="89" t="s">
        <v>111</v>
      </c>
      <c r="J63" s="80" t="s">
        <v>95</v>
      </c>
      <c r="K63" s="80" t="s">
        <v>159</v>
      </c>
      <c r="L63" s="81" t="s">
        <v>112</v>
      </c>
      <c r="M63" s="82" t="s">
        <v>113</v>
      </c>
      <c r="N63" s="83" t="s">
        <v>114</v>
      </c>
      <c r="O63" s="87" t="s">
        <v>100</v>
      </c>
      <c r="P63" s="84">
        <v>0</v>
      </c>
      <c r="Q63" s="85" t="s">
        <v>47</v>
      </c>
      <c r="R63" s="86" t="s">
        <v>160</v>
      </c>
      <c r="S63" s="87" t="s">
        <v>45</v>
      </c>
      <c r="T63" s="87" t="s">
        <v>161</v>
      </c>
      <c r="U63" s="120" t="s">
        <v>163</v>
      </c>
    </row>
    <row r="64" spans="5:21" ht="27.75" customHeight="1" thickBot="1">
      <c r="E64" s="159"/>
      <c r="F64" s="161"/>
      <c r="G64" s="166"/>
      <c r="H64" s="143" t="s">
        <v>104</v>
      </c>
      <c r="I64" s="79" t="s">
        <v>164</v>
      </c>
      <c r="J64" s="80" t="s">
        <v>95</v>
      </c>
      <c r="K64" s="80" t="s">
        <v>159</v>
      </c>
      <c r="L64" s="81" t="s">
        <v>112</v>
      </c>
      <c r="M64" s="82" t="s">
        <v>116</v>
      </c>
      <c r="N64" s="83" t="s">
        <v>114</v>
      </c>
      <c r="O64" s="84" t="s">
        <v>107</v>
      </c>
      <c r="P64" s="84">
        <v>0</v>
      </c>
      <c r="Q64" s="85" t="s">
        <v>47</v>
      </c>
      <c r="R64" s="86" t="s">
        <v>160</v>
      </c>
      <c r="S64" s="87" t="s">
        <v>45</v>
      </c>
      <c r="T64" s="87" t="s">
        <v>154</v>
      </c>
      <c r="U64" s="88" t="s">
        <v>102</v>
      </c>
    </row>
    <row r="65" spans="5:21" ht="27.75" customHeight="1" thickBot="1">
      <c r="E65" s="159"/>
      <c r="F65" s="161"/>
      <c r="G65" s="167">
        <f t="shared" si="28"/>
        <v>30</v>
      </c>
      <c r="H65" s="143" t="s">
        <v>93</v>
      </c>
      <c r="I65" s="89" t="s">
        <v>111</v>
      </c>
      <c r="J65" s="80" t="s">
        <v>95</v>
      </c>
      <c r="K65" s="103" t="s">
        <v>125</v>
      </c>
      <c r="L65" s="81" t="s">
        <v>112</v>
      </c>
      <c r="M65" s="82" t="s">
        <v>113</v>
      </c>
      <c r="N65" s="83" t="s">
        <v>114</v>
      </c>
      <c r="O65" s="87" t="s">
        <v>100</v>
      </c>
      <c r="P65" s="84" t="s">
        <v>118</v>
      </c>
      <c r="Q65" s="85" t="s">
        <v>44</v>
      </c>
      <c r="R65" s="86" t="s">
        <v>160</v>
      </c>
      <c r="S65" s="87" t="s">
        <v>45</v>
      </c>
      <c r="T65" s="87" t="s">
        <v>161</v>
      </c>
      <c r="U65" s="120" t="s">
        <v>165</v>
      </c>
    </row>
    <row r="66" spans="5:21" ht="27.75" customHeight="1" thickBot="1">
      <c r="E66" s="159"/>
      <c r="F66" s="161"/>
      <c r="G66" s="168"/>
      <c r="H66" s="144" t="s">
        <v>104</v>
      </c>
      <c r="I66" s="117" t="s">
        <v>102</v>
      </c>
      <c r="J66" s="105" t="s">
        <v>95</v>
      </c>
      <c r="K66" s="106" t="s">
        <v>125</v>
      </c>
      <c r="L66" s="107" t="s">
        <v>112</v>
      </c>
      <c r="M66" s="108" t="s">
        <v>116</v>
      </c>
      <c r="N66" s="109" t="s">
        <v>114</v>
      </c>
      <c r="O66" s="110" t="s">
        <v>107</v>
      </c>
      <c r="P66" s="110" t="s">
        <v>45</v>
      </c>
      <c r="Q66" s="111" t="s">
        <v>44</v>
      </c>
      <c r="R66" s="112" t="s">
        <v>160</v>
      </c>
      <c r="S66" s="113" t="s">
        <v>45</v>
      </c>
      <c r="T66" s="113" t="s">
        <v>166</v>
      </c>
      <c r="U66" s="115" t="s">
        <v>102</v>
      </c>
    </row>
    <row r="67" spans="5:21" ht="27.75" customHeight="1" thickBot="1">
      <c r="E67" s="159"/>
      <c r="F67" s="164" t="s">
        <v>155</v>
      </c>
      <c r="G67" s="169">
        <f t="shared" ref="G67" si="29">G65+1</f>
        <v>31</v>
      </c>
      <c r="H67" s="145" t="s">
        <v>128</v>
      </c>
      <c r="I67" s="118" t="s">
        <v>111</v>
      </c>
      <c r="J67" s="93" t="s">
        <v>95</v>
      </c>
      <c r="K67" s="93" t="s">
        <v>159</v>
      </c>
      <c r="L67" s="95" t="s">
        <v>97</v>
      </c>
      <c r="M67" s="96" t="s">
        <v>98</v>
      </c>
      <c r="N67" s="97" t="s">
        <v>129</v>
      </c>
      <c r="O67" s="98" t="s">
        <v>100</v>
      </c>
      <c r="P67" s="99" t="s">
        <v>45</v>
      </c>
      <c r="Q67" s="100" t="s">
        <v>44</v>
      </c>
      <c r="R67" s="101" t="s">
        <v>160</v>
      </c>
      <c r="S67" s="98" t="s">
        <v>45</v>
      </c>
      <c r="T67" s="98" t="s">
        <v>167</v>
      </c>
      <c r="U67" s="119" t="s">
        <v>102</v>
      </c>
    </row>
    <row r="68" spans="5:21" ht="27.75" customHeight="1" thickBot="1">
      <c r="E68" s="159"/>
      <c r="F68" s="161"/>
      <c r="G68" s="166"/>
      <c r="H68" s="143" t="s">
        <v>130</v>
      </c>
      <c r="I68" s="79" t="s">
        <v>102</v>
      </c>
      <c r="J68" s="80" t="s">
        <v>95</v>
      </c>
      <c r="K68" s="80" t="s">
        <v>159</v>
      </c>
      <c r="L68" s="81" t="s">
        <v>97</v>
      </c>
      <c r="M68" s="82" t="s">
        <v>116</v>
      </c>
      <c r="N68" s="91" t="s">
        <v>136</v>
      </c>
      <c r="O68" s="84" t="s">
        <v>107</v>
      </c>
      <c r="P68" s="84" t="s">
        <v>118</v>
      </c>
      <c r="Q68" s="85" t="s">
        <v>44</v>
      </c>
      <c r="R68" s="86" t="s">
        <v>160</v>
      </c>
      <c r="S68" s="87" t="s">
        <v>45</v>
      </c>
      <c r="T68" s="87" t="s">
        <v>167</v>
      </c>
      <c r="U68" s="88" t="s">
        <v>136</v>
      </c>
    </row>
    <row r="69" spans="5:21" ht="27.75" customHeight="1" thickBot="1">
      <c r="E69" s="159"/>
      <c r="F69" s="161"/>
      <c r="G69" s="167">
        <f t="shared" ref="G69:G71" si="30">G65+1</f>
        <v>31</v>
      </c>
      <c r="H69" s="143" t="s">
        <v>128</v>
      </c>
      <c r="I69" s="89" t="s">
        <v>111</v>
      </c>
      <c r="J69" s="80" t="s">
        <v>95</v>
      </c>
      <c r="K69" s="80" t="s">
        <v>159</v>
      </c>
      <c r="L69" s="81" t="s">
        <v>112</v>
      </c>
      <c r="M69" s="82" t="s">
        <v>113</v>
      </c>
      <c r="N69" s="83" t="s">
        <v>129</v>
      </c>
      <c r="O69" s="87" t="s">
        <v>100</v>
      </c>
      <c r="P69" s="84">
        <v>0</v>
      </c>
      <c r="Q69" s="85" t="s">
        <v>47</v>
      </c>
      <c r="R69" s="86" t="s">
        <v>160</v>
      </c>
      <c r="S69" s="87" t="s">
        <v>45</v>
      </c>
      <c r="T69" s="87" t="s">
        <v>167</v>
      </c>
      <c r="U69" s="120" t="s">
        <v>102</v>
      </c>
    </row>
    <row r="70" spans="5:21" ht="27.75" customHeight="1" thickBot="1">
      <c r="E70" s="159"/>
      <c r="F70" s="161"/>
      <c r="G70" s="166"/>
      <c r="H70" s="143" t="s">
        <v>130</v>
      </c>
      <c r="I70" s="79" t="s">
        <v>102</v>
      </c>
      <c r="J70" s="80" t="s">
        <v>95</v>
      </c>
      <c r="K70" s="80" t="s">
        <v>159</v>
      </c>
      <c r="L70" s="81" t="s">
        <v>97</v>
      </c>
      <c r="M70" s="82" t="s">
        <v>116</v>
      </c>
      <c r="N70" s="91" t="s">
        <v>136</v>
      </c>
      <c r="O70" s="84" t="s">
        <v>107</v>
      </c>
      <c r="P70" s="84">
        <v>0</v>
      </c>
      <c r="Q70" s="85" t="s">
        <v>47</v>
      </c>
      <c r="R70" s="86" t="s">
        <v>160</v>
      </c>
      <c r="S70" s="87" t="s">
        <v>45</v>
      </c>
      <c r="T70" s="87" t="s">
        <v>167</v>
      </c>
      <c r="U70" s="88" t="s">
        <v>136</v>
      </c>
    </row>
    <row r="71" spans="5:21" ht="27.75" customHeight="1" thickBot="1">
      <c r="E71" s="159"/>
      <c r="F71" s="161"/>
      <c r="G71" s="167">
        <f t="shared" si="30"/>
        <v>32</v>
      </c>
      <c r="H71" s="143" t="s">
        <v>128</v>
      </c>
      <c r="I71" s="89" t="s">
        <v>137</v>
      </c>
      <c r="J71" s="80" t="s">
        <v>95</v>
      </c>
      <c r="K71" s="103" t="s">
        <v>125</v>
      </c>
      <c r="L71" s="81" t="s">
        <v>112</v>
      </c>
      <c r="M71" s="82" t="s">
        <v>113</v>
      </c>
      <c r="N71" s="83" t="s">
        <v>129</v>
      </c>
      <c r="O71" s="87" t="s">
        <v>100</v>
      </c>
      <c r="P71" s="84" t="s">
        <v>45</v>
      </c>
      <c r="Q71" s="85" t="s">
        <v>44</v>
      </c>
      <c r="R71" s="86"/>
      <c r="S71" s="90"/>
      <c r="T71" s="90"/>
      <c r="U71" s="120"/>
    </row>
    <row r="72" spans="5:21" ht="27.75" customHeight="1" thickBot="1">
      <c r="E72" s="159"/>
      <c r="F72" s="161"/>
      <c r="G72" s="168"/>
      <c r="H72" s="144" t="s">
        <v>130</v>
      </c>
      <c r="I72" s="117"/>
      <c r="J72" s="105"/>
      <c r="K72" s="134"/>
      <c r="L72" s="107"/>
      <c r="M72" s="108"/>
      <c r="N72" s="133"/>
      <c r="O72" s="110"/>
      <c r="P72" s="110"/>
      <c r="Q72" s="111"/>
      <c r="R72" s="112"/>
      <c r="S72" s="113"/>
      <c r="T72" s="134"/>
      <c r="U72" s="115"/>
    </row>
    <row r="73" spans="5:21" ht="27.75" customHeight="1" thickBot="1">
      <c r="E73" s="159"/>
      <c r="F73" s="164" t="s">
        <v>156</v>
      </c>
      <c r="G73" s="171">
        <f t="shared" ref="G73" si="31">G71+1</f>
        <v>33</v>
      </c>
      <c r="H73" s="145" t="s">
        <v>139</v>
      </c>
      <c r="I73" s="131" t="s">
        <v>157</v>
      </c>
      <c r="J73" s="122" t="s">
        <v>95</v>
      </c>
      <c r="K73" s="122" t="s">
        <v>159</v>
      </c>
      <c r="L73" s="123" t="s">
        <v>97</v>
      </c>
      <c r="M73" s="124" t="s">
        <v>98</v>
      </c>
      <c r="N73" s="125" t="s">
        <v>129</v>
      </c>
      <c r="O73" s="135" t="s">
        <v>141</v>
      </c>
      <c r="P73" s="127" t="s">
        <v>45</v>
      </c>
      <c r="Q73" s="128" t="s">
        <v>44</v>
      </c>
      <c r="R73" s="129" t="s">
        <v>160</v>
      </c>
      <c r="S73" s="126" t="s">
        <v>45</v>
      </c>
      <c r="T73" s="126" t="s">
        <v>167</v>
      </c>
      <c r="U73" s="132" t="s">
        <v>102</v>
      </c>
    </row>
    <row r="74" spans="5:21" ht="27.75" customHeight="1" thickBot="1">
      <c r="E74" s="159"/>
      <c r="F74" s="161"/>
      <c r="G74" s="163"/>
      <c r="H74" s="143" t="s">
        <v>143</v>
      </c>
      <c r="I74" s="79" t="s">
        <v>102</v>
      </c>
      <c r="J74" s="80" t="s">
        <v>95</v>
      </c>
      <c r="K74" s="80" t="s">
        <v>159</v>
      </c>
      <c r="L74" s="81" t="s">
        <v>97</v>
      </c>
      <c r="M74" s="82" t="s">
        <v>106</v>
      </c>
      <c r="N74" s="91" t="s">
        <v>136</v>
      </c>
      <c r="O74" s="84" t="s">
        <v>107</v>
      </c>
      <c r="P74" s="84">
        <v>0</v>
      </c>
      <c r="Q74" s="85" t="s">
        <v>132</v>
      </c>
      <c r="R74" s="86" t="s">
        <v>160</v>
      </c>
      <c r="S74" s="87" t="s">
        <v>45</v>
      </c>
      <c r="T74" s="87" t="s">
        <v>167</v>
      </c>
      <c r="U74" s="88" t="s">
        <v>136</v>
      </c>
    </row>
    <row r="75" spans="5:21" ht="27.75" customHeight="1" thickBot="1">
      <c r="E75" s="159"/>
      <c r="F75" s="161"/>
      <c r="G75" s="163">
        <f t="shared" ref="G75:G77" si="32">G71+1</f>
        <v>33</v>
      </c>
      <c r="H75" s="143" t="s">
        <v>139</v>
      </c>
      <c r="I75" s="79" t="s">
        <v>157</v>
      </c>
      <c r="J75" s="80" t="s">
        <v>95</v>
      </c>
      <c r="K75" s="80" t="s">
        <v>159</v>
      </c>
      <c r="L75" s="81" t="s">
        <v>112</v>
      </c>
      <c r="M75" s="82" t="s">
        <v>113</v>
      </c>
      <c r="N75" s="83" t="s">
        <v>129</v>
      </c>
      <c r="O75" s="90" t="s">
        <v>148</v>
      </c>
      <c r="P75" s="84">
        <v>0</v>
      </c>
      <c r="Q75" s="85" t="s">
        <v>47</v>
      </c>
      <c r="R75" s="86" t="s">
        <v>160</v>
      </c>
      <c r="S75" s="87" t="s">
        <v>45</v>
      </c>
      <c r="T75" s="87" t="s">
        <v>167</v>
      </c>
      <c r="U75" s="120" t="s">
        <v>102</v>
      </c>
    </row>
    <row r="76" spans="5:21" ht="27.75" customHeight="1" thickBot="1">
      <c r="E76" s="159"/>
      <c r="F76" s="161"/>
      <c r="G76" s="163"/>
      <c r="H76" s="143" t="s">
        <v>143</v>
      </c>
      <c r="I76" s="79" t="s">
        <v>102</v>
      </c>
      <c r="J76" s="80" t="s">
        <v>95</v>
      </c>
      <c r="K76" s="80" t="s">
        <v>159</v>
      </c>
      <c r="L76" s="81" t="s">
        <v>112</v>
      </c>
      <c r="M76" s="82" t="s">
        <v>116</v>
      </c>
      <c r="N76" s="91" t="s">
        <v>136</v>
      </c>
      <c r="O76" s="84" t="s">
        <v>107</v>
      </c>
      <c r="P76" s="84">
        <v>0</v>
      </c>
      <c r="Q76" s="85" t="s">
        <v>47</v>
      </c>
      <c r="R76" s="86" t="s">
        <v>160</v>
      </c>
      <c r="S76" s="87" t="s">
        <v>45</v>
      </c>
      <c r="T76" s="87" t="s">
        <v>167</v>
      </c>
      <c r="U76" s="88" t="s">
        <v>136</v>
      </c>
    </row>
    <row r="77" spans="5:21" ht="27.75" customHeight="1" thickBot="1">
      <c r="E77" s="159"/>
      <c r="F77" s="161"/>
      <c r="G77" s="163">
        <f t="shared" si="32"/>
        <v>34</v>
      </c>
      <c r="H77" s="143" t="s">
        <v>139</v>
      </c>
      <c r="I77" s="89" t="s">
        <v>137</v>
      </c>
      <c r="J77" s="80" t="s">
        <v>95</v>
      </c>
      <c r="K77" s="103" t="s">
        <v>125</v>
      </c>
      <c r="L77" s="81" t="s">
        <v>112</v>
      </c>
      <c r="M77" s="82" t="s">
        <v>113</v>
      </c>
      <c r="N77" s="83" t="s">
        <v>129</v>
      </c>
      <c r="O77" s="90" t="s">
        <v>148</v>
      </c>
      <c r="P77" s="84" t="s">
        <v>45</v>
      </c>
      <c r="Q77" s="85" t="s">
        <v>44</v>
      </c>
      <c r="R77" s="86"/>
      <c r="S77" s="90"/>
      <c r="T77" s="90"/>
      <c r="U77" s="120"/>
    </row>
    <row r="78" spans="5:21" ht="27.75" customHeight="1" thickBot="1">
      <c r="E78" s="159"/>
      <c r="F78" s="161"/>
      <c r="G78" s="172"/>
      <c r="H78" s="146" t="s">
        <v>143</v>
      </c>
      <c r="I78" s="117"/>
      <c r="J78" s="105"/>
      <c r="K78" s="134"/>
      <c r="L78" s="107"/>
      <c r="M78" s="108"/>
      <c r="N78" s="133"/>
      <c r="O78" s="110"/>
      <c r="P78" s="110"/>
      <c r="Q78" s="111"/>
      <c r="R78" s="112"/>
      <c r="S78" s="113"/>
      <c r="T78" s="134"/>
      <c r="U78" s="115"/>
    </row>
    <row r="79" spans="5:21" ht="27.75" customHeight="1" thickBot="1">
      <c r="E79" s="170" t="s">
        <v>168</v>
      </c>
      <c r="F79" s="164" t="s">
        <v>153</v>
      </c>
      <c r="G79" s="165">
        <f t="shared" ref="G79" si="33">G77+1</f>
        <v>35</v>
      </c>
      <c r="H79" s="145" t="s">
        <v>93</v>
      </c>
      <c r="I79" s="92" t="s">
        <v>94</v>
      </c>
      <c r="J79" s="93" t="s">
        <v>95</v>
      </c>
      <c r="K79" s="93" t="s">
        <v>159</v>
      </c>
      <c r="L79" s="95" t="s">
        <v>97</v>
      </c>
      <c r="M79" s="96" t="s">
        <v>98</v>
      </c>
      <c r="N79" s="97" t="s">
        <v>99</v>
      </c>
      <c r="O79" s="98" t="s">
        <v>100</v>
      </c>
      <c r="P79" s="99" t="s">
        <v>45</v>
      </c>
      <c r="Q79" s="100" t="s">
        <v>44</v>
      </c>
      <c r="R79" s="101" t="s">
        <v>169</v>
      </c>
      <c r="S79" s="98" t="s">
        <v>45</v>
      </c>
      <c r="T79" s="136" t="s">
        <v>166</v>
      </c>
      <c r="U79" s="119" t="s">
        <v>102</v>
      </c>
    </row>
    <row r="80" spans="5:21" ht="27.75" customHeight="1" thickBot="1">
      <c r="E80" s="159"/>
      <c r="F80" s="161"/>
      <c r="G80" s="166"/>
      <c r="H80" s="143" t="s">
        <v>104</v>
      </c>
      <c r="I80" s="79" t="s">
        <v>105</v>
      </c>
      <c r="J80" s="80" t="s">
        <v>95</v>
      </c>
      <c r="K80" s="80" t="s">
        <v>159</v>
      </c>
      <c r="L80" s="81" t="s">
        <v>97</v>
      </c>
      <c r="M80" s="82" t="s">
        <v>106</v>
      </c>
      <c r="N80" s="83" t="s">
        <v>99</v>
      </c>
      <c r="O80" s="84" t="s">
        <v>107</v>
      </c>
      <c r="P80" s="84" t="s">
        <v>45</v>
      </c>
      <c r="Q80" s="85" t="s">
        <v>44</v>
      </c>
      <c r="R80" s="86" t="s">
        <v>169</v>
      </c>
      <c r="S80" s="87" t="s">
        <v>45</v>
      </c>
      <c r="T80" s="137" t="s">
        <v>166</v>
      </c>
      <c r="U80" s="88" t="s">
        <v>102</v>
      </c>
    </row>
    <row r="81" spans="5:21" ht="27.75" customHeight="1" thickBot="1">
      <c r="E81" s="159"/>
      <c r="F81" s="161"/>
      <c r="G81" s="167">
        <f t="shared" ref="G81:G83" si="34">G77+1</f>
        <v>35</v>
      </c>
      <c r="H81" s="143" t="s">
        <v>93</v>
      </c>
      <c r="I81" s="89" t="s">
        <v>111</v>
      </c>
      <c r="J81" s="80" t="s">
        <v>95</v>
      </c>
      <c r="K81" s="80" t="s">
        <v>159</v>
      </c>
      <c r="L81" s="81" t="s">
        <v>112</v>
      </c>
      <c r="M81" s="82" t="s">
        <v>113</v>
      </c>
      <c r="N81" s="83" t="s">
        <v>114</v>
      </c>
      <c r="O81" s="87" t="s">
        <v>100</v>
      </c>
      <c r="P81" s="84">
        <v>0</v>
      </c>
      <c r="Q81" s="85" t="s">
        <v>47</v>
      </c>
      <c r="R81" s="86" t="s">
        <v>169</v>
      </c>
      <c r="S81" s="87" t="s">
        <v>45</v>
      </c>
      <c r="T81" s="137" t="s">
        <v>166</v>
      </c>
      <c r="U81" s="120" t="s">
        <v>102</v>
      </c>
    </row>
    <row r="82" spans="5:21" ht="27.75" customHeight="1" thickBot="1">
      <c r="E82" s="159"/>
      <c r="F82" s="161"/>
      <c r="G82" s="166"/>
      <c r="H82" s="143" t="s">
        <v>104</v>
      </c>
      <c r="I82" s="79" t="s">
        <v>164</v>
      </c>
      <c r="J82" s="80" t="s">
        <v>95</v>
      </c>
      <c r="K82" s="80" t="s">
        <v>159</v>
      </c>
      <c r="L82" s="81" t="s">
        <v>112</v>
      </c>
      <c r="M82" s="82" t="s">
        <v>106</v>
      </c>
      <c r="N82" s="91" t="s">
        <v>123</v>
      </c>
      <c r="O82" s="84"/>
      <c r="P82" s="84"/>
      <c r="Q82" s="85"/>
      <c r="R82" s="86" t="s">
        <v>169</v>
      </c>
      <c r="S82" s="87" t="s">
        <v>45</v>
      </c>
      <c r="T82" s="137" t="s">
        <v>166</v>
      </c>
      <c r="U82" s="88" t="s">
        <v>123</v>
      </c>
    </row>
    <row r="83" spans="5:21" ht="27.75" customHeight="1" thickBot="1">
      <c r="E83" s="159"/>
      <c r="F83" s="161"/>
      <c r="G83" s="167">
        <f t="shared" si="34"/>
        <v>36</v>
      </c>
      <c r="H83" s="143" t="s">
        <v>93</v>
      </c>
      <c r="I83" s="89" t="s">
        <v>111</v>
      </c>
      <c r="J83" s="80" t="s">
        <v>95</v>
      </c>
      <c r="K83" s="103" t="s">
        <v>125</v>
      </c>
      <c r="L83" s="81" t="s">
        <v>112</v>
      </c>
      <c r="M83" s="82" t="s">
        <v>113</v>
      </c>
      <c r="N83" s="83" t="s">
        <v>114</v>
      </c>
      <c r="O83" s="87" t="s">
        <v>100</v>
      </c>
      <c r="P83" s="84" t="s">
        <v>118</v>
      </c>
      <c r="Q83" s="85" t="s">
        <v>44</v>
      </c>
      <c r="R83" s="86" t="s">
        <v>169</v>
      </c>
      <c r="S83" s="87" t="s">
        <v>45</v>
      </c>
      <c r="T83" s="137" t="s">
        <v>166</v>
      </c>
      <c r="U83" s="120" t="s">
        <v>102</v>
      </c>
    </row>
    <row r="84" spans="5:21" ht="27.75" customHeight="1" thickBot="1">
      <c r="E84" s="159"/>
      <c r="F84" s="161"/>
      <c r="G84" s="168"/>
      <c r="H84" s="144" t="s">
        <v>104</v>
      </c>
      <c r="I84" s="117" t="s">
        <v>102</v>
      </c>
      <c r="J84" s="105" t="s">
        <v>95</v>
      </c>
      <c r="K84" s="106" t="s">
        <v>125</v>
      </c>
      <c r="L84" s="107" t="s">
        <v>112</v>
      </c>
      <c r="M84" s="108" t="s">
        <v>116</v>
      </c>
      <c r="N84" s="109" t="s">
        <v>114</v>
      </c>
      <c r="O84" s="110" t="s">
        <v>107</v>
      </c>
      <c r="P84" s="110" t="s">
        <v>45</v>
      </c>
      <c r="Q84" s="111" t="s">
        <v>44</v>
      </c>
      <c r="R84" s="112" t="s">
        <v>169</v>
      </c>
      <c r="S84" s="113" t="s">
        <v>45</v>
      </c>
      <c r="T84" s="134" t="s">
        <v>166</v>
      </c>
      <c r="U84" s="115" t="s">
        <v>102</v>
      </c>
    </row>
    <row r="85" spans="5:21" ht="27.75" customHeight="1" thickBot="1">
      <c r="E85" s="159"/>
      <c r="F85" s="164" t="s">
        <v>155</v>
      </c>
      <c r="G85" s="169">
        <f t="shared" ref="G85" si="35">G83+1</f>
        <v>37</v>
      </c>
      <c r="H85" s="145" t="s">
        <v>128</v>
      </c>
      <c r="I85" s="118" t="s">
        <v>111</v>
      </c>
      <c r="J85" s="93" t="s">
        <v>95</v>
      </c>
      <c r="K85" s="93" t="s">
        <v>159</v>
      </c>
      <c r="L85" s="95" t="s">
        <v>97</v>
      </c>
      <c r="M85" s="96" t="s">
        <v>98</v>
      </c>
      <c r="N85" s="97" t="s">
        <v>129</v>
      </c>
      <c r="O85" s="98" t="s">
        <v>100</v>
      </c>
      <c r="P85" s="99" t="s">
        <v>45</v>
      </c>
      <c r="Q85" s="100" t="s">
        <v>44</v>
      </c>
      <c r="R85" s="101" t="s">
        <v>169</v>
      </c>
      <c r="S85" s="98" t="s">
        <v>45</v>
      </c>
      <c r="T85" s="136" t="s">
        <v>166</v>
      </c>
      <c r="U85" s="119" t="s">
        <v>102</v>
      </c>
    </row>
    <row r="86" spans="5:21" ht="27.75" customHeight="1" thickBot="1">
      <c r="E86" s="159"/>
      <c r="F86" s="161"/>
      <c r="G86" s="166"/>
      <c r="H86" s="143" t="s">
        <v>130</v>
      </c>
      <c r="I86" s="79" t="s">
        <v>102</v>
      </c>
      <c r="J86" s="80" t="s">
        <v>95</v>
      </c>
      <c r="K86" s="80" t="s">
        <v>159</v>
      </c>
      <c r="L86" s="81" t="s">
        <v>97</v>
      </c>
      <c r="M86" s="82" t="s">
        <v>116</v>
      </c>
      <c r="N86" s="91" t="s">
        <v>136</v>
      </c>
      <c r="O86" s="84" t="s">
        <v>107</v>
      </c>
      <c r="P86" s="84" t="s">
        <v>118</v>
      </c>
      <c r="Q86" s="85" t="s">
        <v>44</v>
      </c>
      <c r="R86" s="86" t="s">
        <v>169</v>
      </c>
      <c r="S86" s="87" t="s">
        <v>45</v>
      </c>
      <c r="T86" s="137" t="s">
        <v>166</v>
      </c>
      <c r="U86" s="88" t="s">
        <v>136</v>
      </c>
    </row>
    <row r="87" spans="5:21" ht="27.75" customHeight="1" thickBot="1">
      <c r="E87" s="159"/>
      <c r="F87" s="161"/>
      <c r="G87" s="167">
        <f t="shared" ref="G87:G89" si="36">G83+1</f>
        <v>37</v>
      </c>
      <c r="H87" s="143" t="s">
        <v>128</v>
      </c>
      <c r="I87" s="89" t="s">
        <v>111</v>
      </c>
      <c r="J87" s="80" t="s">
        <v>95</v>
      </c>
      <c r="K87" s="80" t="s">
        <v>159</v>
      </c>
      <c r="L87" s="81" t="s">
        <v>112</v>
      </c>
      <c r="M87" s="82" t="s">
        <v>113</v>
      </c>
      <c r="N87" s="83" t="s">
        <v>129</v>
      </c>
      <c r="O87" s="87" t="s">
        <v>100</v>
      </c>
      <c r="P87" s="84">
        <v>0</v>
      </c>
      <c r="Q87" s="85" t="s">
        <v>47</v>
      </c>
      <c r="R87" s="86" t="s">
        <v>169</v>
      </c>
      <c r="S87" s="87" t="s">
        <v>45</v>
      </c>
      <c r="T87" s="137" t="s">
        <v>166</v>
      </c>
      <c r="U87" s="120" t="s">
        <v>102</v>
      </c>
    </row>
    <row r="88" spans="5:21" ht="27.75" customHeight="1" thickBot="1">
      <c r="E88" s="159"/>
      <c r="F88" s="161"/>
      <c r="G88" s="166"/>
      <c r="H88" s="143" t="s">
        <v>130</v>
      </c>
      <c r="I88" s="79" t="s">
        <v>102</v>
      </c>
      <c r="J88" s="80" t="s">
        <v>95</v>
      </c>
      <c r="K88" s="80" t="s">
        <v>159</v>
      </c>
      <c r="L88" s="81" t="s">
        <v>97</v>
      </c>
      <c r="M88" s="82" t="s">
        <v>116</v>
      </c>
      <c r="N88" s="91" t="s">
        <v>170</v>
      </c>
      <c r="O88" s="84"/>
      <c r="P88" s="84"/>
      <c r="Q88" s="85"/>
      <c r="R88" s="86" t="s">
        <v>169</v>
      </c>
      <c r="S88" s="87" t="s">
        <v>45</v>
      </c>
      <c r="T88" s="137" t="s">
        <v>166</v>
      </c>
      <c r="U88" s="88" t="s">
        <v>170</v>
      </c>
    </row>
    <row r="89" spans="5:21" ht="27.75" customHeight="1" thickBot="1">
      <c r="E89" s="159"/>
      <c r="F89" s="161"/>
      <c r="G89" s="167">
        <f t="shared" si="36"/>
        <v>38</v>
      </c>
      <c r="H89" s="143" t="s">
        <v>128</v>
      </c>
      <c r="I89" s="89" t="s">
        <v>137</v>
      </c>
      <c r="J89" s="80" t="s">
        <v>95</v>
      </c>
      <c r="K89" s="103" t="s">
        <v>125</v>
      </c>
      <c r="L89" s="81" t="s">
        <v>112</v>
      </c>
      <c r="M89" s="82" t="s">
        <v>113</v>
      </c>
      <c r="N89" s="83" t="s">
        <v>129</v>
      </c>
      <c r="O89" s="87" t="s">
        <v>100</v>
      </c>
      <c r="P89" s="84" t="s">
        <v>45</v>
      </c>
      <c r="Q89" s="85" t="s">
        <v>44</v>
      </c>
      <c r="R89" s="86"/>
      <c r="S89" s="90"/>
      <c r="T89" s="137"/>
      <c r="U89" s="120"/>
    </row>
    <row r="90" spans="5:21" ht="27.75" customHeight="1" thickBot="1">
      <c r="E90" s="159"/>
      <c r="F90" s="161"/>
      <c r="G90" s="168"/>
      <c r="H90" s="146" t="s">
        <v>130</v>
      </c>
      <c r="I90" s="117"/>
      <c r="J90" s="105"/>
      <c r="K90" s="134"/>
      <c r="L90" s="107"/>
      <c r="M90" s="108"/>
      <c r="N90" s="133"/>
      <c r="O90" s="110"/>
      <c r="P90" s="110"/>
      <c r="Q90" s="111"/>
      <c r="R90" s="112"/>
      <c r="S90" s="113"/>
      <c r="T90" s="134"/>
      <c r="U90" s="115"/>
    </row>
    <row r="91" spans="5:21" ht="27.75" customHeight="1" thickBot="1">
      <c r="E91" s="159"/>
      <c r="F91" s="164" t="s">
        <v>156</v>
      </c>
      <c r="G91" s="171">
        <f t="shared" ref="G91" si="37">G89+1</f>
        <v>39</v>
      </c>
      <c r="H91" s="147" t="s">
        <v>139</v>
      </c>
      <c r="I91" s="131" t="s">
        <v>157</v>
      </c>
      <c r="J91" s="122" t="s">
        <v>95</v>
      </c>
      <c r="K91" s="122" t="s">
        <v>159</v>
      </c>
      <c r="L91" s="123" t="s">
        <v>97</v>
      </c>
      <c r="M91" s="124" t="s">
        <v>98</v>
      </c>
      <c r="N91" s="125" t="s">
        <v>129</v>
      </c>
      <c r="O91" s="135" t="s">
        <v>141</v>
      </c>
      <c r="P91" s="127" t="s">
        <v>45</v>
      </c>
      <c r="Q91" s="128" t="s">
        <v>44</v>
      </c>
      <c r="R91" s="129" t="s">
        <v>169</v>
      </c>
      <c r="S91" s="126" t="s">
        <v>45</v>
      </c>
      <c r="T91" s="138" t="s">
        <v>171</v>
      </c>
      <c r="U91" s="132" t="s">
        <v>102</v>
      </c>
    </row>
    <row r="92" spans="5:21" ht="27.75" customHeight="1" thickBot="1">
      <c r="E92" s="159"/>
      <c r="F92" s="161"/>
      <c r="G92" s="163"/>
      <c r="H92" s="143" t="s">
        <v>143</v>
      </c>
      <c r="I92" s="79" t="s">
        <v>102</v>
      </c>
      <c r="J92" s="80" t="s">
        <v>95</v>
      </c>
      <c r="K92" s="80" t="s">
        <v>159</v>
      </c>
      <c r="L92" s="81" t="s">
        <v>97</v>
      </c>
      <c r="M92" s="82" t="s">
        <v>116</v>
      </c>
      <c r="N92" s="91" t="s">
        <v>136</v>
      </c>
      <c r="O92" s="84" t="s">
        <v>107</v>
      </c>
      <c r="P92" s="84" t="s">
        <v>118</v>
      </c>
      <c r="Q92" s="85" t="s">
        <v>44</v>
      </c>
      <c r="R92" s="86" t="s">
        <v>169</v>
      </c>
      <c r="S92" s="87" t="s">
        <v>45</v>
      </c>
      <c r="T92" s="137" t="s">
        <v>171</v>
      </c>
      <c r="U92" s="88" t="s">
        <v>136</v>
      </c>
    </row>
    <row r="93" spans="5:21" ht="27.75" customHeight="1" thickBot="1">
      <c r="E93" s="159"/>
      <c r="F93" s="161"/>
      <c r="G93" s="163">
        <f t="shared" ref="G93:G95" si="38">G89+1</f>
        <v>39</v>
      </c>
      <c r="H93" s="143" t="s">
        <v>139</v>
      </c>
      <c r="I93" s="79" t="s">
        <v>157</v>
      </c>
      <c r="J93" s="80" t="s">
        <v>95</v>
      </c>
      <c r="K93" s="80" t="s">
        <v>159</v>
      </c>
      <c r="L93" s="81" t="s">
        <v>112</v>
      </c>
      <c r="M93" s="82" t="s">
        <v>113</v>
      </c>
      <c r="N93" s="83" t="s">
        <v>129</v>
      </c>
      <c r="O93" s="90" t="s">
        <v>148</v>
      </c>
      <c r="P93" s="84">
        <v>0</v>
      </c>
      <c r="Q93" s="85" t="s">
        <v>47</v>
      </c>
      <c r="R93" s="86" t="s">
        <v>169</v>
      </c>
      <c r="S93" s="87" t="s">
        <v>45</v>
      </c>
      <c r="T93" s="137" t="s">
        <v>171</v>
      </c>
      <c r="U93" s="120" t="s">
        <v>102</v>
      </c>
    </row>
    <row r="94" spans="5:21" ht="27.75" customHeight="1" thickBot="1">
      <c r="E94" s="159"/>
      <c r="F94" s="161"/>
      <c r="G94" s="163"/>
      <c r="H94" s="143" t="s">
        <v>143</v>
      </c>
      <c r="I94" s="79" t="s">
        <v>102</v>
      </c>
      <c r="J94" s="80" t="s">
        <v>95</v>
      </c>
      <c r="K94" s="80" t="s">
        <v>159</v>
      </c>
      <c r="L94" s="81" t="s">
        <v>112</v>
      </c>
      <c r="M94" s="82" t="s">
        <v>116</v>
      </c>
      <c r="N94" s="91" t="s">
        <v>170</v>
      </c>
      <c r="O94" s="84"/>
      <c r="P94" s="84"/>
      <c r="Q94" s="85"/>
      <c r="R94" s="86" t="s">
        <v>169</v>
      </c>
      <c r="S94" s="87" t="s">
        <v>45</v>
      </c>
      <c r="T94" s="137" t="s">
        <v>166</v>
      </c>
      <c r="U94" s="88" t="s">
        <v>170</v>
      </c>
    </row>
    <row r="95" spans="5:21" ht="27.75" customHeight="1" thickBot="1">
      <c r="E95" s="159"/>
      <c r="F95" s="161"/>
      <c r="G95" s="163">
        <f t="shared" si="38"/>
        <v>40</v>
      </c>
      <c r="H95" s="143" t="s">
        <v>139</v>
      </c>
      <c r="I95" s="89" t="s">
        <v>137</v>
      </c>
      <c r="J95" s="80" t="s">
        <v>95</v>
      </c>
      <c r="K95" s="103" t="s">
        <v>125</v>
      </c>
      <c r="L95" s="81" t="s">
        <v>112</v>
      </c>
      <c r="M95" s="82" t="s">
        <v>113</v>
      </c>
      <c r="N95" s="83" t="s">
        <v>129</v>
      </c>
      <c r="O95" s="90" t="s">
        <v>148</v>
      </c>
      <c r="P95" s="84" t="s">
        <v>45</v>
      </c>
      <c r="Q95" s="85" t="s">
        <v>44</v>
      </c>
      <c r="R95" s="86"/>
      <c r="S95" s="90"/>
      <c r="T95" s="137"/>
      <c r="U95" s="120"/>
    </row>
    <row r="96" spans="5:21" ht="27.75" customHeight="1" thickBot="1">
      <c r="E96" s="159"/>
      <c r="F96" s="161"/>
      <c r="G96" s="172"/>
      <c r="H96" s="146" t="s">
        <v>143</v>
      </c>
      <c r="I96" s="117"/>
      <c r="J96" s="105"/>
      <c r="K96" s="134"/>
      <c r="L96" s="107"/>
      <c r="M96" s="108"/>
      <c r="N96" s="133"/>
      <c r="O96" s="110"/>
      <c r="P96" s="110"/>
      <c r="Q96" s="111"/>
      <c r="R96" s="112"/>
      <c r="S96" s="113"/>
      <c r="T96" s="134"/>
      <c r="U96" s="115"/>
    </row>
  </sheetData>
  <mergeCells count="70">
    <mergeCell ref="M3:Q3"/>
    <mergeCell ref="I3:L3"/>
    <mergeCell ref="R3:U3"/>
    <mergeCell ref="H3:H4"/>
    <mergeCell ref="G87:G88"/>
    <mergeCell ref="G73:G74"/>
    <mergeCell ref="G75:G76"/>
    <mergeCell ref="G77:G78"/>
    <mergeCell ref="G13:G14"/>
    <mergeCell ref="G15:G16"/>
    <mergeCell ref="G27:G28"/>
    <mergeCell ref="G29:G30"/>
    <mergeCell ref="E79:E96"/>
    <mergeCell ref="F79:F84"/>
    <mergeCell ref="G79:G80"/>
    <mergeCell ref="G81:G82"/>
    <mergeCell ref="G83:G84"/>
    <mergeCell ref="F85:F90"/>
    <mergeCell ref="G85:G86"/>
    <mergeCell ref="G89:G90"/>
    <mergeCell ref="F91:F96"/>
    <mergeCell ref="G91:G92"/>
    <mergeCell ref="G93:G94"/>
    <mergeCell ref="G95:G96"/>
    <mergeCell ref="E61:E78"/>
    <mergeCell ref="F61:F66"/>
    <mergeCell ref="G61:G62"/>
    <mergeCell ref="G63:G64"/>
    <mergeCell ref="G65:G66"/>
    <mergeCell ref="F67:F72"/>
    <mergeCell ref="G67:G68"/>
    <mergeCell ref="G69:G70"/>
    <mergeCell ref="G71:G72"/>
    <mergeCell ref="F73:F78"/>
    <mergeCell ref="E49:E60"/>
    <mergeCell ref="F49:F52"/>
    <mergeCell ref="G49:G50"/>
    <mergeCell ref="G51:G52"/>
    <mergeCell ref="F53:F56"/>
    <mergeCell ref="G53:G54"/>
    <mergeCell ref="G55:G56"/>
    <mergeCell ref="F57:F60"/>
    <mergeCell ref="G57:G58"/>
    <mergeCell ref="G59:G60"/>
    <mergeCell ref="F31:F48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E3:F4"/>
    <mergeCell ref="G3:G4"/>
    <mergeCell ref="Y3:Y4"/>
    <mergeCell ref="Z3:AA3"/>
    <mergeCell ref="E5:E48"/>
    <mergeCell ref="F5:F16"/>
    <mergeCell ref="G5:G6"/>
    <mergeCell ref="G7:G8"/>
    <mergeCell ref="G9:G10"/>
    <mergeCell ref="G11:G12"/>
    <mergeCell ref="F17:F30"/>
    <mergeCell ref="G17:G18"/>
    <mergeCell ref="G19:G20"/>
    <mergeCell ref="G21:G22"/>
    <mergeCell ref="G23:G24"/>
    <mergeCell ref="G25:G26"/>
  </mergeCells>
  <phoneticPr fontId="1"/>
  <conditionalFormatting sqref="T19:U19 T18 T25:U25 T20 J29:J30 T37 K39:N39 P39:R39 I44 R40 K40:M40 K43:N43 K42:M42 R42 K44:M44 U38 U34 J25:O25 K41:R41 O43:R44 U42 T21:U21 T23:U23 T22 K17:N20 T24 S29:U30 P17:R20 I5:I10 K26:M26 I17:I26 T17:U17 I13:U16 I29:I38 K29:R29 K31:R38 J48 S47:S48 U47:U48 T5:U12 K5:R11 K12:M12 O12:R12 T49:U52 K51:R52 L50:R50 U56 M53:N53 P53:R53 M56:R56 M55:N55 P55:R55 O54:R54 U60 I48:I62 L65:U66 I65:J66 P67:R67 K74:M74 R74 I72:J72 I27:J28 K27:R27 Q28:R28 L47:Q47 K45:R45 T39:T48 R46 T61:U63 K63:R64 U64 K70:R70 K69:N69 P69:R69 K75:R76 K68:R68 M72:R72 T71 P71:R71 L71:L72 M78:R78 T77 P77:R77 L77 I79:I80 L83:U84 I83:J84 P85:R85 K92:L92 R92 I90:J90 T79:U81 K81:R81 U82 K82:L82 R82 K88:M88 K87:N87 P87:R87 R88 K86:R86 M90:R90 T89 P89:R89 L89:L90 M96:R96 T95 P95:R95 L95 K94:M94 R94 P25:R26 R21:R24 K21:L23">
    <cfRule type="expression" dxfId="451" priority="465">
      <formula>$M5="←"</formula>
    </cfRule>
    <cfRule type="expression" dxfId="450" priority="466">
      <formula>$M5="→"</formula>
    </cfRule>
  </conditionalFormatting>
  <conditionalFormatting sqref="J5:J10">
    <cfRule type="expression" dxfId="449" priority="463">
      <formula>$M5="←"</formula>
    </cfRule>
    <cfRule type="expression" dxfId="448" priority="464">
      <formula>$M5="→"</formula>
    </cfRule>
  </conditionalFormatting>
  <conditionalFormatting sqref="K30:R30">
    <cfRule type="expression" dxfId="447" priority="461">
      <formula>$M30="←"</formula>
    </cfRule>
    <cfRule type="expression" dxfId="446" priority="462">
      <formula>$M30="→"</formula>
    </cfRule>
  </conditionalFormatting>
  <conditionalFormatting sqref="J17:J20">
    <cfRule type="expression" dxfId="445" priority="459">
      <formula>$M17="←"</formula>
    </cfRule>
    <cfRule type="expression" dxfId="444" priority="460">
      <formula>$M17="→"</formula>
    </cfRule>
  </conditionalFormatting>
  <conditionalFormatting sqref="T31:T35">
    <cfRule type="expression" dxfId="443" priority="457">
      <formula>$M31="←"</formula>
    </cfRule>
    <cfRule type="expression" dxfId="442" priority="458">
      <formula>$M31="→"</formula>
    </cfRule>
  </conditionalFormatting>
  <conditionalFormatting sqref="J31:J38">
    <cfRule type="expression" dxfId="441" priority="455">
      <formula>$M31="←"</formula>
    </cfRule>
    <cfRule type="expression" dxfId="440" priority="456">
      <formula>$M31="→"</formula>
    </cfRule>
  </conditionalFormatting>
  <conditionalFormatting sqref="S5:S10">
    <cfRule type="expression" dxfId="439" priority="453">
      <formula>$M5="←"</formula>
    </cfRule>
    <cfRule type="expression" dxfId="438" priority="454">
      <formula>$M5="→"</formula>
    </cfRule>
  </conditionalFormatting>
  <conditionalFormatting sqref="S31:S38">
    <cfRule type="expression" dxfId="437" priority="451">
      <formula>$M31="←"</formula>
    </cfRule>
    <cfRule type="expression" dxfId="436" priority="452">
      <formula>$M31="→"</formula>
    </cfRule>
  </conditionalFormatting>
  <conditionalFormatting sqref="N40:Q40">
    <cfRule type="expression" dxfId="435" priority="415">
      <formula>$M40="←"</formula>
    </cfRule>
    <cfRule type="expression" dxfId="434" priority="416">
      <formula>$M40="→"</formula>
    </cfRule>
  </conditionalFormatting>
  <conditionalFormatting sqref="N42:Q42">
    <cfRule type="expression" dxfId="433" priority="413">
      <formula>$M42="←"</formula>
    </cfRule>
    <cfRule type="expression" dxfId="432" priority="414">
      <formula>$M42="→"</formula>
    </cfRule>
  </conditionalFormatting>
  <conditionalFormatting sqref="U33">
    <cfRule type="expression" dxfId="431" priority="411">
      <formula>$M33="←"</formula>
    </cfRule>
    <cfRule type="expression" dxfId="430" priority="412">
      <formula>$M33="→"</formula>
    </cfRule>
  </conditionalFormatting>
  <conditionalFormatting sqref="U41">
    <cfRule type="expression" dxfId="429" priority="407">
      <formula>$M41="←"</formula>
    </cfRule>
    <cfRule type="expression" dxfId="428" priority="408">
      <formula>$M41="→"</formula>
    </cfRule>
  </conditionalFormatting>
  <conditionalFormatting sqref="U35">
    <cfRule type="expression" dxfId="427" priority="409">
      <formula>$M35="←"</formula>
    </cfRule>
    <cfRule type="expression" dxfId="426" priority="410">
      <formula>$M35="→"</formula>
    </cfRule>
  </conditionalFormatting>
  <conditionalFormatting sqref="U37">
    <cfRule type="expression" dxfId="425" priority="405">
      <formula>$M37="←"</formula>
    </cfRule>
    <cfRule type="expression" dxfId="424" priority="406">
      <formula>$M37="→"</formula>
    </cfRule>
  </conditionalFormatting>
  <conditionalFormatting sqref="U20">
    <cfRule type="expression" dxfId="423" priority="399">
      <formula>$M20="←"</formula>
    </cfRule>
    <cfRule type="expression" dxfId="422" priority="400">
      <formula>$M20="→"</formula>
    </cfRule>
  </conditionalFormatting>
  <conditionalFormatting sqref="S17:S20">
    <cfRule type="expression" dxfId="421" priority="449">
      <formula>$M17="←"</formula>
    </cfRule>
    <cfRule type="expression" dxfId="420" priority="450">
      <formula>$M17="→"</formula>
    </cfRule>
  </conditionalFormatting>
  <conditionalFormatting sqref="N44">
    <cfRule type="expression" dxfId="419" priority="403">
      <formula>$M44="←"</formula>
    </cfRule>
    <cfRule type="expression" dxfId="418" priority="404">
      <formula>$M44="→"</formula>
    </cfRule>
  </conditionalFormatting>
  <conditionalFormatting sqref="K48:R48">
    <cfRule type="expression" dxfId="417" priority="447">
      <formula>$M48="←"</formula>
    </cfRule>
    <cfRule type="expression" dxfId="416" priority="448">
      <formula>$M48="→"</formula>
    </cfRule>
  </conditionalFormatting>
  <conditionalFormatting sqref="J39:J44">
    <cfRule type="expression" dxfId="415" priority="445">
      <formula>$M39="←"</formula>
    </cfRule>
    <cfRule type="expression" dxfId="414" priority="446">
      <formula>$M39="→"</formula>
    </cfRule>
  </conditionalFormatting>
  <conditionalFormatting sqref="S39:S44">
    <cfRule type="expression" dxfId="413" priority="443">
      <formula>$M39="←"</formula>
    </cfRule>
    <cfRule type="expression" dxfId="412" priority="444">
      <formula>$M39="→"</formula>
    </cfRule>
  </conditionalFormatting>
  <conditionalFormatting sqref="U36">
    <cfRule type="expression" dxfId="411" priority="441">
      <formula>$M36="←"</formula>
    </cfRule>
    <cfRule type="expression" dxfId="410" priority="442">
      <formula>$M36="→"</formula>
    </cfRule>
  </conditionalFormatting>
  <conditionalFormatting sqref="U32">
    <cfRule type="expression" dxfId="409" priority="439">
      <formula>$M32="←"</formula>
    </cfRule>
    <cfRule type="expression" dxfId="408" priority="440">
      <formula>$M32="→"</formula>
    </cfRule>
  </conditionalFormatting>
  <conditionalFormatting sqref="O17:O20">
    <cfRule type="expression" dxfId="407" priority="437">
      <formula>$M17="←"</formula>
    </cfRule>
    <cfRule type="expression" dxfId="406" priority="438">
      <formula>$M17="→"</formula>
    </cfRule>
  </conditionalFormatting>
  <conditionalFormatting sqref="O39">
    <cfRule type="expression" dxfId="405" priority="435">
      <formula>$M39="←"</formula>
    </cfRule>
    <cfRule type="expression" dxfId="404" priority="436">
      <formula>$M39="→"</formula>
    </cfRule>
  </conditionalFormatting>
  <conditionalFormatting sqref="I39">
    <cfRule type="expression" dxfId="403" priority="433">
      <formula>$M39="←"</formula>
    </cfRule>
    <cfRule type="expression" dxfId="402" priority="434">
      <formula>$M39="→"</formula>
    </cfRule>
  </conditionalFormatting>
  <conditionalFormatting sqref="I41">
    <cfRule type="expression" dxfId="401" priority="431">
      <formula>$M41="←"</formula>
    </cfRule>
    <cfRule type="expression" dxfId="400" priority="432">
      <formula>$M41="→"</formula>
    </cfRule>
  </conditionalFormatting>
  <conditionalFormatting sqref="I43">
    <cfRule type="expression" dxfId="399" priority="429">
      <formula>$M43="←"</formula>
    </cfRule>
    <cfRule type="expression" dxfId="398" priority="430">
      <formula>$M43="→"</formula>
    </cfRule>
  </conditionalFormatting>
  <conditionalFormatting sqref="T38">
    <cfRule type="expression" dxfId="397" priority="427">
      <formula>$M38="←"</formula>
    </cfRule>
    <cfRule type="expression" dxfId="396" priority="428">
      <formula>$M38="→"</formula>
    </cfRule>
  </conditionalFormatting>
  <conditionalFormatting sqref="U40">
    <cfRule type="expression" dxfId="395" priority="419">
      <formula>$M40="←"</formula>
    </cfRule>
    <cfRule type="expression" dxfId="394" priority="420">
      <formula>$M40="→"</formula>
    </cfRule>
  </conditionalFormatting>
  <conditionalFormatting sqref="T36">
    <cfRule type="expression" dxfId="393" priority="425">
      <formula>$M36="←"</formula>
    </cfRule>
    <cfRule type="expression" dxfId="392" priority="426">
      <formula>$M36="→"</formula>
    </cfRule>
  </conditionalFormatting>
  <conditionalFormatting sqref="U31">
    <cfRule type="expression" dxfId="391" priority="423">
      <formula>$M31="←"</formula>
    </cfRule>
    <cfRule type="expression" dxfId="390" priority="424">
      <formula>$M31="→"</formula>
    </cfRule>
  </conditionalFormatting>
  <conditionalFormatting sqref="U43:U44">
    <cfRule type="expression" dxfId="389" priority="421">
      <formula>$M43="←"</formula>
    </cfRule>
    <cfRule type="expression" dxfId="388" priority="422">
      <formula>$M43="→"</formula>
    </cfRule>
  </conditionalFormatting>
  <conditionalFormatting sqref="U39">
    <cfRule type="expression" dxfId="387" priority="417">
      <formula>$M39="←"</formula>
    </cfRule>
    <cfRule type="expression" dxfId="386" priority="418">
      <formula>$M39="→"</formula>
    </cfRule>
  </conditionalFormatting>
  <conditionalFormatting sqref="U18">
    <cfRule type="expression" dxfId="385" priority="401">
      <formula>$M18="←"</formula>
    </cfRule>
    <cfRule type="expression" dxfId="384" priority="402">
      <formula>$M18="→"</formula>
    </cfRule>
  </conditionalFormatting>
  <conditionalFormatting sqref="K24:L24">
    <cfRule type="expression" dxfId="383" priority="397">
      <formula>$M24="←"</formula>
    </cfRule>
    <cfRule type="expression" dxfId="382" priority="398">
      <formula>$M24="→"</formula>
    </cfRule>
  </conditionalFormatting>
  <conditionalFormatting sqref="J21:J24">
    <cfRule type="expression" dxfId="381" priority="395">
      <formula>$M21="←"</formula>
    </cfRule>
    <cfRule type="expression" dxfId="380" priority="396">
      <formula>$M21="→"</formula>
    </cfRule>
  </conditionalFormatting>
  <conditionalFormatting sqref="U22">
    <cfRule type="expression" dxfId="379" priority="391">
      <formula>$M22="←"</formula>
    </cfRule>
    <cfRule type="expression" dxfId="378" priority="392">
      <formula>$M22="→"</formula>
    </cfRule>
  </conditionalFormatting>
  <conditionalFormatting sqref="S21:S24">
    <cfRule type="expression" dxfId="377" priority="389">
      <formula>$M21="←"</formula>
    </cfRule>
    <cfRule type="expression" dxfId="376" priority="390">
      <formula>$M21="→"</formula>
    </cfRule>
  </conditionalFormatting>
  <conditionalFormatting sqref="S25">
    <cfRule type="expression" dxfId="375" priority="387">
      <formula>$M25="←"</formula>
    </cfRule>
    <cfRule type="expression" dxfId="374" priority="388">
      <formula>$M25="→"</formula>
    </cfRule>
  </conditionalFormatting>
  <conditionalFormatting sqref="U24">
    <cfRule type="expression" dxfId="373" priority="381">
      <formula>$M24="←"</formula>
    </cfRule>
    <cfRule type="expression" dxfId="372" priority="382">
      <formula>$M24="→"</formula>
    </cfRule>
  </conditionalFormatting>
  <conditionalFormatting sqref="N26">
    <cfRule type="expression" dxfId="371" priority="369">
      <formula>$M26="←"</formula>
    </cfRule>
    <cfRule type="expression" dxfId="370" priority="370">
      <formula>$M26="→"</formula>
    </cfRule>
  </conditionalFormatting>
  <conditionalFormatting sqref="T26">
    <cfRule type="expression" dxfId="369" priority="379">
      <formula>$M26="←"</formula>
    </cfRule>
    <cfRule type="expression" dxfId="368" priority="380">
      <formula>$M26="→"</formula>
    </cfRule>
  </conditionalFormatting>
  <conditionalFormatting sqref="J26">
    <cfRule type="expression" dxfId="367" priority="377">
      <formula>$M26="←"</formula>
    </cfRule>
    <cfRule type="expression" dxfId="366" priority="378">
      <formula>$M26="→"</formula>
    </cfRule>
  </conditionalFormatting>
  <conditionalFormatting sqref="S26">
    <cfRule type="expression" dxfId="365" priority="375">
      <formula>$M26="←"</formula>
    </cfRule>
    <cfRule type="expression" dxfId="364" priority="376">
      <formula>$M26="→"</formula>
    </cfRule>
  </conditionalFormatting>
  <conditionalFormatting sqref="O26">
    <cfRule type="expression" dxfId="363" priority="373">
      <formula>$M26="←"</formula>
    </cfRule>
    <cfRule type="expression" dxfId="362" priority="374">
      <formula>$M26="→"</formula>
    </cfRule>
  </conditionalFormatting>
  <conditionalFormatting sqref="U26">
    <cfRule type="expression" dxfId="361" priority="371">
      <formula>$M26="←"</formula>
    </cfRule>
    <cfRule type="expression" dxfId="360" priority="372">
      <formula>$M26="→"</formula>
    </cfRule>
  </conditionalFormatting>
  <conditionalFormatting sqref="I40">
    <cfRule type="expression" dxfId="359" priority="367">
      <formula>$M40="←"</formula>
    </cfRule>
    <cfRule type="expression" dxfId="358" priority="368">
      <formula>$M40="→"</formula>
    </cfRule>
  </conditionalFormatting>
  <conditionalFormatting sqref="I42">
    <cfRule type="expression" dxfId="357" priority="365">
      <formula>$M42="←"</formula>
    </cfRule>
    <cfRule type="expression" dxfId="356" priority="366">
      <formula>$M42="→"</formula>
    </cfRule>
  </conditionalFormatting>
  <conditionalFormatting sqref="S73:S74">
    <cfRule type="expression" dxfId="355" priority="311">
      <formula>$M73="←"</formula>
    </cfRule>
    <cfRule type="expression" dxfId="354" priority="312">
      <formula>$M73="→"</formula>
    </cfRule>
  </conditionalFormatting>
  <conditionalFormatting sqref="U73">
    <cfRule type="expression" dxfId="353" priority="309">
      <formula>$M73="←"</formula>
    </cfRule>
    <cfRule type="expression" dxfId="352" priority="310">
      <formula>$M73="→"</formula>
    </cfRule>
  </conditionalFormatting>
  <conditionalFormatting sqref="K53:L56">
    <cfRule type="expression" dxfId="351" priority="307">
      <formula>$M53="←"</formula>
    </cfRule>
    <cfRule type="expression" dxfId="350" priority="308">
      <formula>$M53="→"</formula>
    </cfRule>
  </conditionalFormatting>
  <conditionalFormatting sqref="J53:J54">
    <cfRule type="expression" dxfId="349" priority="305">
      <formula>$M53="←"</formula>
    </cfRule>
    <cfRule type="expression" dxfId="348" priority="306">
      <formula>$M53="→"</formula>
    </cfRule>
  </conditionalFormatting>
  <conditionalFormatting sqref="S11:S12">
    <cfRule type="expression" dxfId="347" priority="293">
      <formula>$M11="←"</formula>
    </cfRule>
    <cfRule type="expression" dxfId="346" priority="294">
      <formula>$M11="→"</formula>
    </cfRule>
  </conditionalFormatting>
  <conditionalFormatting sqref="I11:I12">
    <cfRule type="expression" dxfId="345" priority="297">
      <formula>$M11="←"</formula>
    </cfRule>
    <cfRule type="expression" dxfId="344" priority="298">
      <formula>$M11="→"</formula>
    </cfRule>
  </conditionalFormatting>
  <conditionalFormatting sqref="I73:I74">
    <cfRule type="expression" dxfId="343" priority="301">
      <formula>$M73="←"</formula>
    </cfRule>
    <cfRule type="expression" dxfId="342" priority="302">
      <formula>$M73="→"</formula>
    </cfRule>
  </conditionalFormatting>
  <conditionalFormatting sqref="K49:R49">
    <cfRule type="expression" dxfId="341" priority="363">
      <formula>$M49="←"</formula>
    </cfRule>
    <cfRule type="expression" dxfId="340" priority="364">
      <formula>$M49="→"</formula>
    </cfRule>
  </conditionalFormatting>
  <conditionalFormatting sqref="J49:J52">
    <cfRule type="expression" dxfId="339" priority="361">
      <formula>$M49="←"</formula>
    </cfRule>
    <cfRule type="expression" dxfId="338" priority="362">
      <formula>$M49="→"</formula>
    </cfRule>
  </conditionalFormatting>
  <conditionalFormatting sqref="S49:S52">
    <cfRule type="expression" dxfId="337" priority="359">
      <formula>$M49="←"</formula>
    </cfRule>
    <cfRule type="expression" dxfId="336" priority="360">
      <formula>$M49="→"</formula>
    </cfRule>
  </conditionalFormatting>
  <conditionalFormatting sqref="M54">
    <cfRule type="expression" dxfId="335" priority="357">
      <formula>$M54="←"</formula>
    </cfRule>
    <cfRule type="expression" dxfId="334" priority="358">
      <formula>$M54="→"</formula>
    </cfRule>
  </conditionalFormatting>
  <conditionalFormatting sqref="T53:T56">
    <cfRule type="expression" dxfId="333" priority="355">
      <formula>$M53="←"</formula>
    </cfRule>
    <cfRule type="expression" dxfId="332" priority="356">
      <formula>$M53="→"</formula>
    </cfRule>
  </conditionalFormatting>
  <conditionalFormatting sqref="K57:R60">
    <cfRule type="expression" dxfId="331" priority="345">
      <formula>$M57="←"</formula>
    </cfRule>
    <cfRule type="expression" dxfId="330" priority="346">
      <formula>$M57="→"</formula>
    </cfRule>
  </conditionalFormatting>
  <conditionalFormatting sqref="S53:S56">
    <cfRule type="expression" dxfId="329" priority="353">
      <formula>$M53="←"</formula>
    </cfRule>
    <cfRule type="expression" dxfId="328" priority="354">
      <formula>$M53="→"</formula>
    </cfRule>
  </conditionalFormatting>
  <conditionalFormatting sqref="U55">
    <cfRule type="expression" dxfId="327" priority="347">
      <formula>$M55="←"</formula>
    </cfRule>
    <cfRule type="expression" dxfId="326" priority="348">
      <formula>$M55="→"</formula>
    </cfRule>
  </conditionalFormatting>
  <conditionalFormatting sqref="U54">
    <cfRule type="expression" dxfId="325" priority="351">
      <formula>$M54="←"</formula>
    </cfRule>
    <cfRule type="expression" dxfId="324" priority="352">
      <formula>$M54="→"</formula>
    </cfRule>
  </conditionalFormatting>
  <conditionalFormatting sqref="U53">
    <cfRule type="expression" dxfId="323" priority="349">
      <formula>$M53="←"</formula>
    </cfRule>
    <cfRule type="expression" dxfId="322" priority="350">
      <formula>$M53="→"</formula>
    </cfRule>
  </conditionalFormatting>
  <conditionalFormatting sqref="S57:S60">
    <cfRule type="expression" dxfId="321" priority="339">
      <formula>$M57="←"</formula>
    </cfRule>
    <cfRule type="expression" dxfId="320" priority="340">
      <formula>$M57="→"</formula>
    </cfRule>
  </conditionalFormatting>
  <conditionalFormatting sqref="T57:T60">
    <cfRule type="expression" dxfId="319" priority="343">
      <formula>$M57="←"</formula>
    </cfRule>
    <cfRule type="expression" dxfId="318" priority="344">
      <formula>$M57="→"</formula>
    </cfRule>
  </conditionalFormatting>
  <conditionalFormatting sqref="J57:J60">
    <cfRule type="expression" dxfId="317" priority="341">
      <formula>$M57="←"</formula>
    </cfRule>
    <cfRule type="expression" dxfId="316" priority="342">
      <formula>$M57="→"</formula>
    </cfRule>
  </conditionalFormatting>
  <conditionalFormatting sqref="S61:S62">
    <cfRule type="expression" dxfId="315" priority="327">
      <formula>$M61="←"</formula>
    </cfRule>
    <cfRule type="expression" dxfId="314" priority="328">
      <formula>$M61="→"</formula>
    </cfRule>
  </conditionalFormatting>
  <conditionalFormatting sqref="U59">
    <cfRule type="expression" dxfId="313" priority="333">
      <formula>$M59="←"</formula>
    </cfRule>
    <cfRule type="expression" dxfId="312" priority="334">
      <formula>$M59="→"</formula>
    </cfRule>
  </conditionalFormatting>
  <conditionalFormatting sqref="U58">
    <cfRule type="expression" dxfId="311" priority="337">
      <formula>$M58="←"</formula>
    </cfRule>
    <cfRule type="expression" dxfId="310" priority="338">
      <formula>$M58="→"</formula>
    </cfRule>
  </conditionalFormatting>
  <conditionalFormatting sqref="U57">
    <cfRule type="expression" dxfId="309" priority="335">
      <formula>$M57="←"</formula>
    </cfRule>
    <cfRule type="expression" dxfId="308" priority="336">
      <formula>$M57="→"</formula>
    </cfRule>
  </conditionalFormatting>
  <conditionalFormatting sqref="K61:R62">
    <cfRule type="expression" dxfId="307" priority="331">
      <formula>$M61="←"</formula>
    </cfRule>
    <cfRule type="expression" dxfId="306" priority="332">
      <formula>$M61="→"</formula>
    </cfRule>
  </conditionalFormatting>
  <conditionalFormatting sqref="J61:J62">
    <cfRule type="expression" dxfId="305" priority="329">
      <formula>$M61="←"</formula>
    </cfRule>
    <cfRule type="expression" dxfId="304" priority="330">
      <formula>$M61="→"</formula>
    </cfRule>
  </conditionalFormatting>
  <conditionalFormatting sqref="K67:N67">
    <cfRule type="expression" dxfId="303" priority="325">
      <formula>$M67="←"</formula>
    </cfRule>
    <cfRule type="expression" dxfId="302" priority="326">
      <formula>$M67="→"</formula>
    </cfRule>
  </conditionalFormatting>
  <conditionalFormatting sqref="T67">
    <cfRule type="expression" dxfId="301" priority="323">
      <formula>$M67="←"</formula>
    </cfRule>
    <cfRule type="expression" dxfId="300" priority="324">
      <formula>$M67="→"</formula>
    </cfRule>
  </conditionalFormatting>
  <conditionalFormatting sqref="J67:J68">
    <cfRule type="expression" dxfId="299" priority="321">
      <formula>$M67="←"</formula>
    </cfRule>
    <cfRule type="expression" dxfId="298" priority="322">
      <formula>$M67="→"</formula>
    </cfRule>
  </conditionalFormatting>
  <conditionalFormatting sqref="S67">
    <cfRule type="expression" dxfId="297" priority="319">
      <formula>$M67="←"</formula>
    </cfRule>
    <cfRule type="expression" dxfId="296" priority="320">
      <formula>$M67="→"</formula>
    </cfRule>
  </conditionalFormatting>
  <conditionalFormatting sqref="U67">
    <cfRule type="expression" dxfId="295" priority="317">
      <formula>$M67="←"</formula>
    </cfRule>
    <cfRule type="expression" dxfId="294" priority="318">
      <formula>$M67="→"</formula>
    </cfRule>
  </conditionalFormatting>
  <conditionalFormatting sqref="K73:R73">
    <cfRule type="expression" dxfId="293" priority="315">
      <formula>$M73="←"</formula>
    </cfRule>
    <cfRule type="expression" dxfId="292" priority="316">
      <formula>$M73="→"</formula>
    </cfRule>
  </conditionalFormatting>
  <conditionalFormatting sqref="J73:J74">
    <cfRule type="expression" dxfId="291" priority="313">
      <formula>$M73="←"</formula>
    </cfRule>
    <cfRule type="expression" dxfId="290" priority="314">
      <formula>$M73="→"</formula>
    </cfRule>
  </conditionalFormatting>
  <conditionalFormatting sqref="J55:J56">
    <cfRule type="expression" dxfId="289" priority="303">
      <formula>$M55="←"</formula>
    </cfRule>
    <cfRule type="expression" dxfId="288" priority="304">
      <formula>$M55="→"</formula>
    </cfRule>
  </conditionalFormatting>
  <conditionalFormatting sqref="J11:J12">
    <cfRule type="expression" dxfId="287" priority="295">
      <formula>$M11="←"</formula>
    </cfRule>
    <cfRule type="expression" dxfId="286" priority="296">
      <formula>$M11="→"</formula>
    </cfRule>
  </conditionalFormatting>
  <conditionalFormatting sqref="I67:I68">
    <cfRule type="expression" dxfId="285" priority="299">
      <formula>$M67="←"</formula>
    </cfRule>
    <cfRule type="expression" dxfId="284" priority="300">
      <formula>$M67="→"</formula>
    </cfRule>
  </conditionalFormatting>
  <conditionalFormatting sqref="S27:U28">
    <cfRule type="expression" dxfId="283" priority="291">
      <formula>$M27="←"</formula>
    </cfRule>
    <cfRule type="expression" dxfId="282" priority="292">
      <formula>$M27="→"</formula>
    </cfRule>
  </conditionalFormatting>
  <conditionalFormatting sqref="I45">
    <cfRule type="expression" dxfId="281" priority="279">
      <formula>$M45="←"</formula>
    </cfRule>
    <cfRule type="expression" dxfId="280" priority="280">
      <formula>$M45="→"</formula>
    </cfRule>
  </conditionalFormatting>
  <conditionalFormatting sqref="K28:M28">
    <cfRule type="expression" dxfId="279" priority="289">
      <formula>$M28="←"</formula>
    </cfRule>
    <cfRule type="expression" dxfId="278" priority="290">
      <formula>$M28="→"</formula>
    </cfRule>
  </conditionalFormatting>
  <conditionalFormatting sqref="U45">
    <cfRule type="expression" dxfId="277" priority="277">
      <formula>$M45="←"</formula>
    </cfRule>
    <cfRule type="expression" dxfId="276" priority="278">
      <formula>$M45="→"</formula>
    </cfRule>
  </conditionalFormatting>
  <conditionalFormatting sqref="I47:J47">
    <cfRule type="expression" dxfId="275" priority="275">
      <formula>$M47="←"</formula>
    </cfRule>
    <cfRule type="expression" dxfId="274" priority="276">
      <formula>$M47="→"</formula>
    </cfRule>
  </conditionalFormatting>
  <conditionalFormatting sqref="I46">
    <cfRule type="expression" dxfId="273" priority="287">
      <formula>$M46="←"</formula>
    </cfRule>
    <cfRule type="expression" dxfId="272" priority="288">
      <formula>$M46="→"</formula>
    </cfRule>
  </conditionalFormatting>
  <conditionalFormatting sqref="K46:M46">
    <cfRule type="expression" dxfId="271" priority="285">
      <formula>$M46="←"</formula>
    </cfRule>
    <cfRule type="expression" dxfId="270" priority="286">
      <formula>$M46="→"</formula>
    </cfRule>
  </conditionalFormatting>
  <conditionalFormatting sqref="J45:J46">
    <cfRule type="expression" dxfId="269" priority="283">
      <formula>$M45="←"</formula>
    </cfRule>
    <cfRule type="expression" dxfId="268" priority="284">
      <formula>$M45="→"</formula>
    </cfRule>
  </conditionalFormatting>
  <conditionalFormatting sqref="S45:S46">
    <cfRule type="expression" dxfId="267" priority="281">
      <formula>$M45="←"</formula>
    </cfRule>
    <cfRule type="expression" dxfId="266" priority="282">
      <formula>$M45="→"</formula>
    </cfRule>
  </conditionalFormatting>
  <conditionalFormatting sqref="K66">
    <cfRule type="expression" dxfId="265" priority="267">
      <formula>$M66="←"</formula>
    </cfRule>
    <cfRule type="expression" dxfId="264" priority="268">
      <formula>$M66="→"</formula>
    </cfRule>
  </conditionalFormatting>
  <conditionalFormatting sqref="K47">
    <cfRule type="expression" dxfId="263" priority="265">
      <formula>$M47="←"</formula>
    </cfRule>
    <cfRule type="expression" dxfId="262" priority="266">
      <formula>$M47="→"</formula>
    </cfRule>
  </conditionalFormatting>
  <conditionalFormatting sqref="K50">
    <cfRule type="expression" dxfId="261" priority="263">
      <formula>$M50="←"</formula>
    </cfRule>
    <cfRule type="expression" dxfId="260" priority="264">
      <formula>$M50="→"</formula>
    </cfRule>
  </conditionalFormatting>
  <conditionalFormatting sqref="S63:S64">
    <cfRule type="expression" dxfId="259" priority="269">
      <formula>$M63="←"</formula>
    </cfRule>
    <cfRule type="expression" dxfId="258" priority="270">
      <formula>$M63="→"</formula>
    </cfRule>
  </conditionalFormatting>
  <conditionalFormatting sqref="I63:I64">
    <cfRule type="expression" dxfId="257" priority="273">
      <formula>$M63="←"</formula>
    </cfRule>
    <cfRule type="expression" dxfId="256" priority="274">
      <formula>$M63="→"</formula>
    </cfRule>
  </conditionalFormatting>
  <conditionalFormatting sqref="J63:J64">
    <cfRule type="expression" dxfId="255" priority="271">
      <formula>$M63="←"</formula>
    </cfRule>
    <cfRule type="expression" dxfId="254" priority="272">
      <formula>$M63="→"</formula>
    </cfRule>
  </conditionalFormatting>
  <conditionalFormatting sqref="S69:S70">
    <cfRule type="expression" dxfId="253" priority="255">
      <formula>$M69="←"</formula>
    </cfRule>
    <cfRule type="expression" dxfId="252" priority="256">
      <formula>$M69="→"</formula>
    </cfRule>
  </conditionalFormatting>
  <conditionalFormatting sqref="U69">
    <cfRule type="expression" dxfId="251" priority="253">
      <formula>$M69="←"</formula>
    </cfRule>
    <cfRule type="expression" dxfId="250" priority="254">
      <formula>$M69="→"</formula>
    </cfRule>
  </conditionalFormatting>
  <conditionalFormatting sqref="I69:I70">
    <cfRule type="expression" dxfId="249" priority="251">
      <formula>$M69="←"</formula>
    </cfRule>
    <cfRule type="expression" dxfId="248" priority="252">
      <formula>$M69="→"</formula>
    </cfRule>
  </conditionalFormatting>
  <conditionalFormatting sqref="U70">
    <cfRule type="expression" dxfId="247" priority="261">
      <formula>$M70="←"</formula>
    </cfRule>
    <cfRule type="expression" dxfId="246" priority="262">
      <formula>$M70="→"</formula>
    </cfRule>
  </conditionalFormatting>
  <conditionalFormatting sqref="T69:T70">
    <cfRule type="expression" dxfId="245" priority="259">
      <formula>$M69="←"</formula>
    </cfRule>
    <cfRule type="expression" dxfId="244" priority="260">
      <formula>$M69="→"</formula>
    </cfRule>
  </conditionalFormatting>
  <conditionalFormatting sqref="J69:J70">
    <cfRule type="expression" dxfId="243" priority="257">
      <formula>$M69="←"</formula>
    </cfRule>
    <cfRule type="expression" dxfId="242" priority="258">
      <formula>$M69="→"</formula>
    </cfRule>
  </conditionalFormatting>
  <conditionalFormatting sqref="S75:S76">
    <cfRule type="expression" dxfId="241" priority="245">
      <formula>$M75="←"</formula>
    </cfRule>
    <cfRule type="expression" dxfId="240" priority="246">
      <formula>$M75="→"</formula>
    </cfRule>
  </conditionalFormatting>
  <conditionalFormatting sqref="U75">
    <cfRule type="expression" dxfId="239" priority="243">
      <formula>$M75="←"</formula>
    </cfRule>
    <cfRule type="expression" dxfId="238" priority="244">
      <formula>$M75="→"</formula>
    </cfRule>
  </conditionalFormatting>
  <conditionalFormatting sqref="I75:I76">
    <cfRule type="expression" dxfId="237" priority="241">
      <formula>$M75="←"</formula>
    </cfRule>
    <cfRule type="expression" dxfId="236" priority="242">
      <formula>$M75="→"</formula>
    </cfRule>
  </conditionalFormatting>
  <conditionalFormatting sqref="U76">
    <cfRule type="expression" dxfId="235" priority="249">
      <formula>$M76="←"</formula>
    </cfRule>
    <cfRule type="expression" dxfId="234" priority="250">
      <formula>$M76="→"</formula>
    </cfRule>
  </conditionalFormatting>
  <conditionalFormatting sqref="J75:J76">
    <cfRule type="expression" dxfId="233" priority="247">
      <formula>$M75="←"</formula>
    </cfRule>
    <cfRule type="expression" dxfId="232" priority="248">
      <formula>$M75="→"</formula>
    </cfRule>
  </conditionalFormatting>
  <conditionalFormatting sqref="K72">
    <cfRule type="expression" dxfId="231" priority="239">
      <formula>$M72="←"</formula>
    </cfRule>
    <cfRule type="expression" dxfId="230" priority="240">
      <formula>$M72="→"</formula>
    </cfRule>
  </conditionalFormatting>
  <conditionalFormatting sqref="S68">
    <cfRule type="expression" dxfId="229" priority="233">
      <formula>$M68="←"</formula>
    </cfRule>
    <cfRule type="expression" dxfId="228" priority="234">
      <formula>$M68="→"</formula>
    </cfRule>
  </conditionalFormatting>
  <conditionalFormatting sqref="U68">
    <cfRule type="expression" dxfId="227" priority="237">
      <formula>$M68="←"</formula>
    </cfRule>
    <cfRule type="expression" dxfId="226" priority="238">
      <formula>$M68="→"</formula>
    </cfRule>
  </conditionalFormatting>
  <conditionalFormatting sqref="T68">
    <cfRule type="expression" dxfId="225" priority="235">
      <formula>$M68="←"</formula>
    </cfRule>
    <cfRule type="expression" dxfId="224" priority="236">
      <formula>$M68="→"</formula>
    </cfRule>
  </conditionalFormatting>
  <conditionalFormatting sqref="S72">
    <cfRule type="expression" dxfId="223" priority="227">
      <formula>$M72="←"</formula>
    </cfRule>
    <cfRule type="expression" dxfId="222" priority="228">
      <formula>$M72="→"</formula>
    </cfRule>
  </conditionalFormatting>
  <conditionalFormatting sqref="U72">
    <cfRule type="expression" dxfId="221" priority="231">
      <formula>$M72="←"</formula>
    </cfRule>
    <cfRule type="expression" dxfId="220" priority="232">
      <formula>$M72="→"</formula>
    </cfRule>
  </conditionalFormatting>
  <conditionalFormatting sqref="T72">
    <cfRule type="expression" dxfId="219" priority="229">
      <formula>$M72="←"</formula>
    </cfRule>
    <cfRule type="expression" dxfId="218" priority="230">
      <formula>$M72="→"</formula>
    </cfRule>
  </conditionalFormatting>
  <conditionalFormatting sqref="T64">
    <cfRule type="expression" dxfId="217" priority="225">
      <formula>$M64="←"</formula>
    </cfRule>
    <cfRule type="expression" dxfId="216" priority="226">
      <formula>$M64="→"</formula>
    </cfRule>
  </conditionalFormatting>
  <conditionalFormatting sqref="T73">
    <cfRule type="expression" dxfId="215" priority="223">
      <formula>$M73="←"</formula>
    </cfRule>
    <cfRule type="expression" dxfId="214" priority="224">
      <formula>$M73="→"</formula>
    </cfRule>
  </conditionalFormatting>
  <conditionalFormatting sqref="T75:T76">
    <cfRule type="expression" dxfId="213" priority="221">
      <formula>$M75="←"</formula>
    </cfRule>
    <cfRule type="expression" dxfId="212" priority="222">
      <formula>$M75="→"</formula>
    </cfRule>
  </conditionalFormatting>
  <conditionalFormatting sqref="T74">
    <cfRule type="expression" dxfId="211" priority="219">
      <formula>$M74="←"</formula>
    </cfRule>
    <cfRule type="expression" dxfId="210" priority="220">
      <formula>$M74="→"</formula>
    </cfRule>
  </conditionalFormatting>
  <conditionalFormatting sqref="M71:N71">
    <cfRule type="expression" dxfId="209" priority="217">
      <formula>$M71="←"</formula>
    </cfRule>
    <cfRule type="expression" dxfId="208" priority="218">
      <formula>$M71="→"</formula>
    </cfRule>
  </conditionalFormatting>
  <conditionalFormatting sqref="S71">
    <cfRule type="expression" dxfId="207" priority="215">
      <formula>$M71="←"</formula>
    </cfRule>
    <cfRule type="expression" dxfId="206" priority="216">
      <formula>$M71="→"</formula>
    </cfRule>
  </conditionalFormatting>
  <conditionalFormatting sqref="U71">
    <cfRule type="expression" dxfId="205" priority="213">
      <formula>$M71="←"</formula>
    </cfRule>
    <cfRule type="expression" dxfId="204" priority="214">
      <formula>$M71="→"</formula>
    </cfRule>
  </conditionalFormatting>
  <conditionalFormatting sqref="I71:J71">
    <cfRule type="expression" dxfId="203" priority="211">
      <formula>$M71="←"</formula>
    </cfRule>
    <cfRule type="expression" dxfId="202" priority="212">
      <formula>$M71="→"</formula>
    </cfRule>
  </conditionalFormatting>
  <conditionalFormatting sqref="K71">
    <cfRule type="expression" dxfId="201" priority="209">
      <formula>$M71="←"</formula>
    </cfRule>
    <cfRule type="expression" dxfId="200" priority="210">
      <formula>$M71="→"</formula>
    </cfRule>
  </conditionalFormatting>
  <conditionalFormatting sqref="R47">
    <cfRule type="expression" dxfId="199" priority="207">
      <formula>$M47="←"</formula>
    </cfRule>
    <cfRule type="expression" dxfId="198" priority="208">
      <formula>$M47="→"</formula>
    </cfRule>
  </conditionalFormatting>
  <conditionalFormatting sqref="K65">
    <cfRule type="expression" dxfId="197" priority="205">
      <formula>$M65="←"</formula>
    </cfRule>
    <cfRule type="expression" dxfId="196" priority="206">
      <formula>$M65="→"</formula>
    </cfRule>
  </conditionalFormatting>
  <conditionalFormatting sqref="O53">
    <cfRule type="expression" dxfId="195" priority="203">
      <formula>$M53="←"</formula>
    </cfRule>
    <cfRule type="expression" dxfId="194" priority="204">
      <formula>$M53="→"</formula>
    </cfRule>
  </conditionalFormatting>
  <conditionalFormatting sqref="O55">
    <cfRule type="expression" dxfId="193" priority="201">
      <formula>$M55="←"</formula>
    </cfRule>
    <cfRule type="expression" dxfId="192" priority="202">
      <formula>$M55="→"</formula>
    </cfRule>
  </conditionalFormatting>
  <conditionalFormatting sqref="N12">
    <cfRule type="expression" dxfId="191" priority="193">
      <formula>$M12="←"</formula>
    </cfRule>
    <cfRule type="expression" dxfId="190" priority="194">
      <formula>$M12="→"</formula>
    </cfRule>
  </conditionalFormatting>
  <conditionalFormatting sqref="N54">
    <cfRule type="expression" dxfId="189" priority="191">
      <formula>$M54="←"</formula>
    </cfRule>
    <cfRule type="expression" dxfId="188" priority="192">
      <formula>$M54="→"</formula>
    </cfRule>
  </conditionalFormatting>
  <conditionalFormatting sqref="O67">
    <cfRule type="expression" dxfId="187" priority="189">
      <formula>$M67="←"</formula>
    </cfRule>
    <cfRule type="expression" dxfId="186" priority="190">
      <formula>$M67="→"</formula>
    </cfRule>
  </conditionalFormatting>
  <conditionalFormatting sqref="O69">
    <cfRule type="expression" dxfId="185" priority="187">
      <formula>$M69="←"</formula>
    </cfRule>
    <cfRule type="expression" dxfId="184" priority="188">
      <formula>$M69="→"</formula>
    </cfRule>
  </conditionalFormatting>
  <conditionalFormatting sqref="O71">
    <cfRule type="expression" dxfId="183" priority="185">
      <formula>$M71="←"</formula>
    </cfRule>
    <cfRule type="expression" dxfId="182" priority="186">
      <formula>$M71="→"</formula>
    </cfRule>
  </conditionalFormatting>
  <conditionalFormatting sqref="N74:Q74">
    <cfRule type="expression" dxfId="181" priority="183">
      <formula>$M74="←"</formula>
    </cfRule>
    <cfRule type="expression" dxfId="180" priority="184">
      <formula>$M74="→"</formula>
    </cfRule>
  </conditionalFormatting>
  <conditionalFormatting sqref="L78">
    <cfRule type="expression" dxfId="179" priority="181">
      <formula>$M78="←"</formula>
    </cfRule>
    <cfRule type="expression" dxfId="178" priority="182">
      <formula>$M78="→"</formula>
    </cfRule>
  </conditionalFormatting>
  <conditionalFormatting sqref="J78">
    <cfRule type="expression" dxfId="177" priority="179">
      <formula>$M78="←"</formula>
    </cfRule>
    <cfRule type="expression" dxfId="176" priority="180">
      <formula>$M78="→"</formula>
    </cfRule>
  </conditionalFormatting>
  <conditionalFormatting sqref="I78">
    <cfRule type="expression" dxfId="175" priority="177">
      <formula>$M78="←"</formula>
    </cfRule>
    <cfRule type="expression" dxfId="174" priority="178">
      <formula>$M78="→"</formula>
    </cfRule>
  </conditionalFormatting>
  <conditionalFormatting sqref="K78">
    <cfRule type="expression" dxfId="173" priority="175">
      <formula>$M78="←"</formula>
    </cfRule>
    <cfRule type="expression" dxfId="172" priority="176">
      <formula>$M78="→"</formula>
    </cfRule>
  </conditionalFormatting>
  <conditionalFormatting sqref="S78">
    <cfRule type="expression" dxfId="171" priority="169">
      <formula>$M78="←"</formula>
    </cfRule>
    <cfRule type="expression" dxfId="170" priority="170">
      <formula>$M78="→"</formula>
    </cfRule>
  </conditionalFormatting>
  <conditionalFormatting sqref="U78">
    <cfRule type="expression" dxfId="169" priority="173">
      <formula>$M78="←"</formula>
    </cfRule>
    <cfRule type="expression" dxfId="168" priority="174">
      <formula>$M78="→"</formula>
    </cfRule>
  </conditionalFormatting>
  <conditionalFormatting sqref="T78">
    <cfRule type="expression" dxfId="167" priority="171">
      <formula>$M78="←"</formula>
    </cfRule>
    <cfRule type="expression" dxfId="166" priority="172">
      <formula>$M78="→"</formula>
    </cfRule>
  </conditionalFormatting>
  <conditionalFormatting sqref="M77:N77">
    <cfRule type="expression" dxfId="165" priority="167">
      <formula>$M77="←"</formula>
    </cfRule>
    <cfRule type="expression" dxfId="164" priority="168">
      <formula>$M77="→"</formula>
    </cfRule>
  </conditionalFormatting>
  <conditionalFormatting sqref="S77">
    <cfRule type="expression" dxfId="163" priority="165">
      <formula>$M77="←"</formula>
    </cfRule>
    <cfRule type="expression" dxfId="162" priority="166">
      <formula>$M77="→"</formula>
    </cfRule>
  </conditionalFormatting>
  <conditionalFormatting sqref="U77">
    <cfRule type="expression" dxfId="161" priority="163">
      <formula>$M77="←"</formula>
    </cfRule>
    <cfRule type="expression" dxfId="160" priority="164">
      <formula>$M77="→"</formula>
    </cfRule>
  </conditionalFormatting>
  <conditionalFormatting sqref="I77:J77">
    <cfRule type="expression" dxfId="159" priority="161">
      <formula>$M77="←"</formula>
    </cfRule>
    <cfRule type="expression" dxfId="158" priority="162">
      <formula>$M77="→"</formula>
    </cfRule>
  </conditionalFormatting>
  <conditionalFormatting sqref="K77">
    <cfRule type="expression" dxfId="157" priority="159">
      <formula>$M77="←"</formula>
    </cfRule>
    <cfRule type="expression" dxfId="156" priority="160">
      <formula>$M77="→"</formula>
    </cfRule>
  </conditionalFormatting>
  <conditionalFormatting sqref="O77">
    <cfRule type="expression" dxfId="155" priority="157">
      <formula>$M77="←"</formula>
    </cfRule>
    <cfRule type="expression" dxfId="154" priority="158">
      <formula>$M77="→"</formula>
    </cfRule>
  </conditionalFormatting>
  <conditionalFormatting sqref="U74">
    <cfRule type="expression" dxfId="153" priority="155">
      <formula>$M74="←"</formula>
    </cfRule>
    <cfRule type="expression" dxfId="152" priority="156">
      <formula>$M74="→"</formula>
    </cfRule>
  </conditionalFormatting>
  <conditionalFormatting sqref="S91:S92">
    <cfRule type="expression" dxfId="151" priority="133">
      <formula>$M91="←"</formula>
    </cfRule>
    <cfRule type="expression" dxfId="150" priority="134">
      <formula>$M91="→"</formula>
    </cfRule>
  </conditionalFormatting>
  <conditionalFormatting sqref="U91">
    <cfRule type="expression" dxfId="149" priority="131">
      <formula>$M91="←"</formula>
    </cfRule>
    <cfRule type="expression" dxfId="148" priority="132">
      <formula>$M91="→"</formula>
    </cfRule>
  </conditionalFormatting>
  <conditionalFormatting sqref="I91:I92">
    <cfRule type="expression" dxfId="147" priority="129">
      <formula>$M91="←"</formula>
    </cfRule>
    <cfRule type="expression" dxfId="146" priority="130">
      <formula>$M91="→"</formula>
    </cfRule>
  </conditionalFormatting>
  <conditionalFormatting sqref="S79:S80">
    <cfRule type="expression" dxfId="145" priority="149">
      <formula>$M79="←"</formula>
    </cfRule>
    <cfRule type="expression" dxfId="144" priority="150">
      <formula>$M79="→"</formula>
    </cfRule>
  </conditionalFormatting>
  <conditionalFormatting sqref="K79:R80">
    <cfRule type="expression" dxfId="143" priority="153">
      <formula>$M79="←"</formula>
    </cfRule>
    <cfRule type="expression" dxfId="142" priority="154">
      <formula>$M79="→"</formula>
    </cfRule>
  </conditionalFormatting>
  <conditionalFormatting sqref="J79:J80">
    <cfRule type="expression" dxfId="141" priority="151">
      <formula>$M79="←"</formula>
    </cfRule>
    <cfRule type="expression" dxfId="140" priority="152">
      <formula>$M79="→"</formula>
    </cfRule>
  </conditionalFormatting>
  <conditionalFormatting sqref="K85:N85">
    <cfRule type="expression" dxfId="139" priority="147">
      <formula>$M85="←"</formula>
    </cfRule>
    <cfRule type="expression" dxfId="138" priority="148">
      <formula>$M85="→"</formula>
    </cfRule>
  </conditionalFormatting>
  <conditionalFormatting sqref="T85">
    <cfRule type="expression" dxfId="137" priority="145">
      <formula>$M85="←"</formula>
    </cfRule>
    <cfRule type="expression" dxfId="136" priority="146">
      <formula>$M85="→"</formula>
    </cfRule>
  </conditionalFormatting>
  <conditionalFormatting sqref="J85:J86">
    <cfRule type="expression" dxfId="135" priority="143">
      <formula>$M85="←"</formula>
    </cfRule>
    <cfRule type="expression" dxfId="134" priority="144">
      <formula>$M85="→"</formula>
    </cfRule>
  </conditionalFormatting>
  <conditionalFormatting sqref="S85">
    <cfRule type="expression" dxfId="133" priority="141">
      <formula>$M85="←"</formula>
    </cfRule>
    <cfRule type="expression" dxfId="132" priority="142">
      <formula>$M85="→"</formula>
    </cfRule>
  </conditionalFormatting>
  <conditionalFormatting sqref="U85">
    <cfRule type="expression" dxfId="131" priority="139">
      <formula>$M85="←"</formula>
    </cfRule>
    <cfRule type="expression" dxfId="130" priority="140">
      <formula>$M85="→"</formula>
    </cfRule>
  </conditionalFormatting>
  <conditionalFormatting sqref="K91:R91">
    <cfRule type="expression" dxfId="129" priority="137">
      <formula>$M91="←"</formula>
    </cfRule>
    <cfRule type="expression" dxfId="128" priority="138">
      <formula>$M91="→"</formula>
    </cfRule>
  </conditionalFormatting>
  <conditionalFormatting sqref="J91:J92">
    <cfRule type="expression" dxfId="127" priority="135">
      <formula>$M91="←"</formula>
    </cfRule>
    <cfRule type="expression" dxfId="126" priority="136">
      <formula>$M91="→"</formula>
    </cfRule>
  </conditionalFormatting>
  <conditionalFormatting sqref="I85:I86">
    <cfRule type="expression" dxfId="125" priority="127">
      <formula>$M85="←"</formula>
    </cfRule>
    <cfRule type="expression" dxfId="124" priority="128">
      <formula>$M85="→"</formula>
    </cfRule>
  </conditionalFormatting>
  <conditionalFormatting sqref="K84">
    <cfRule type="expression" dxfId="123" priority="119">
      <formula>$M84="←"</formula>
    </cfRule>
    <cfRule type="expression" dxfId="122" priority="120">
      <formula>$M84="→"</formula>
    </cfRule>
  </conditionalFormatting>
  <conditionalFormatting sqref="S81:S82">
    <cfRule type="expression" dxfId="121" priority="121">
      <formula>$M81="←"</formula>
    </cfRule>
    <cfRule type="expression" dxfId="120" priority="122">
      <formula>$M81="→"</formula>
    </cfRule>
  </conditionalFormatting>
  <conditionalFormatting sqref="I81:I82">
    <cfRule type="expression" dxfId="119" priority="125">
      <formula>$M81="←"</formula>
    </cfRule>
    <cfRule type="expression" dxfId="118" priority="126">
      <formula>$M81="→"</formula>
    </cfRule>
  </conditionalFormatting>
  <conditionalFormatting sqref="J81:J82">
    <cfRule type="expression" dxfId="117" priority="123">
      <formula>$M81="←"</formula>
    </cfRule>
    <cfRule type="expression" dxfId="116" priority="124">
      <formula>$M81="→"</formula>
    </cfRule>
  </conditionalFormatting>
  <conditionalFormatting sqref="S87:S88">
    <cfRule type="expression" dxfId="115" priority="111">
      <formula>$M87="←"</formula>
    </cfRule>
    <cfRule type="expression" dxfId="114" priority="112">
      <formula>$M87="→"</formula>
    </cfRule>
  </conditionalFormatting>
  <conditionalFormatting sqref="U87">
    <cfRule type="expression" dxfId="113" priority="109">
      <formula>$M87="←"</formula>
    </cfRule>
    <cfRule type="expression" dxfId="112" priority="110">
      <formula>$M87="→"</formula>
    </cfRule>
  </conditionalFormatting>
  <conditionalFormatting sqref="I87:I88">
    <cfRule type="expression" dxfId="111" priority="107">
      <formula>$M87="←"</formula>
    </cfRule>
    <cfRule type="expression" dxfId="110" priority="108">
      <formula>$M87="→"</formula>
    </cfRule>
  </conditionalFormatting>
  <conditionalFormatting sqref="U88">
    <cfRule type="expression" dxfId="109" priority="117">
      <formula>$M88="←"</formula>
    </cfRule>
    <cfRule type="expression" dxfId="108" priority="118">
      <formula>$M88="→"</formula>
    </cfRule>
  </conditionalFormatting>
  <conditionalFormatting sqref="T87:T88">
    <cfRule type="expression" dxfId="107" priority="115">
      <formula>$M87="←"</formula>
    </cfRule>
    <cfRule type="expression" dxfId="106" priority="116">
      <formula>$M87="→"</formula>
    </cfRule>
  </conditionalFormatting>
  <conditionalFormatting sqref="J87:J88">
    <cfRule type="expression" dxfId="105" priority="113">
      <formula>$M87="←"</formula>
    </cfRule>
    <cfRule type="expression" dxfId="104" priority="114">
      <formula>$M87="→"</formula>
    </cfRule>
  </conditionalFormatting>
  <conditionalFormatting sqref="S93">
    <cfRule type="expression" dxfId="103" priority="101">
      <formula>$M93="←"</formula>
    </cfRule>
    <cfRule type="expression" dxfId="102" priority="102">
      <formula>$M93="→"</formula>
    </cfRule>
  </conditionalFormatting>
  <conditionalFormatting sqref="U93">
    <cfRule type="expression" dxfId="101" priority="99">
      <formula>$M93="←"</formula>
    </cfRule>
    <cfRule type="expression" dxfId="100" priority="100">
      <formula>$M93="→"</formula>
    </cfRule>
  </conditionalFormatting>
  <conditionalFormatting sqref="I93:I94">
    <cfRule type="expression" dxfId="99" priority="97">
      <formula>$M93="←"</formula>
    </cfRule>
    <cfRule type="expression" dxfId="98" priority="98">
      <formula>$M93="→"</formula>
    </cfRule>
  </conditionalFormatting>
  <conditionalFormatting sqref="K93:R93">
    <cfRule type="expression" dxfId="97" priority="105">
      <formula>$M93="←"</formula>
    </cfRule>
    <cfRule type="expression" dxfId="96" priority="106">
      <formula>$M93="→"</formula>
    </cfRule>
  </conditionalFormatting>
  <conditionalFormatting sqref="J93:J94">
    <cfRule type="expression" dxfId="95" priority="103">
      <formula>$M93="←"</formula>
    </cfRule>
    <cfRule type="expression" dxfId="94" priority="104">
      <formula>$M93="→"</formula>
    </cfRule>
  </conditionalFormatting>
  <conditionalFormatting sqref="K90">
    <cfRule type="expression" dxfId="93" priority="95">
      <formula>$M90="←"</formula>
    </cfRule>
    <cfRule type="expression" dxfId="92" priority="96">
      <formula>$M90="→"</formula>
    </cfRule>
  </conditionalFormatting>
  <conditionalFormatting sqref="S86">
    <cfRule type="expression" dxfId="91" priority="89">
      <formula>$M86="←"</formula>
    </cfRule>
    <cfRule type="expression" dxfId="90" priority="90">
      <formula>$M86="→"</formula>
    </cfRule>
  </conditionalFormatting>
  <conditionalFormatting sqref="U86">
    <cfRule type="expression" dxfId="89" priority="93">
      <formula>$M86="←"</formula>
    </cfRule>
    <cfRule type="expression" dxfId="88" priority="94">
      <formula>$M86="→"</formula>
    </cfRule>
  </conditionalFormatting>
  <conditionalFormatting sqref="T86">
    <cfRule type="expression" dxfId="87" priority="91">
      <formula>$M86="←"</formula>
    </cfRule>
    <cfRule type="expression" dxfId="86" priority="92">
      <formula>$M86="→"</formula>
    </cfRule>
  </conditionalFormatting>
  <conditionalFormatting sqref="S90">
    <cfRule type="expression" dxfId="85" priority="83">
      <formula>$M90="←"</formula>
    </cfRule>
    <cfRule type="expression" dxfId="84" priority="84">
      <formula>$M90="→"</formula>
    </cfRule>
  </conditionalFormatting>
  <conditionalFormatting sqref="U90">
    <cfRule type="expression" dxfId="83" priority="87">
      <formula>$M90="←"</formula>
    </cfRule>
    <cfRule type="expression" dxfId="82" priority="88">
      <formula>$M90="→"</formula>
    </cfRule>
  </conditionalFormatting>
  <conditionalFormatting sqref="T90">
    <cfRule type="expression" dxfId="81" priority="85">
      <formula>$M90="←"</formula>
    </cfRule>
    <cfRule type="expression" dxfId="80" priority="86">
      <formula>$M90="→"</formula>
    </cfRule>
  </conditionalFormatting>
  <conditionalFormatting sqref="T82">
    <cfRule type="expression" dxfId="79" priority="81">
      <formula>$M82="←"</formula>
    </cfRule>
    <cfRule type="expression" dxfId="78" priority="82">
      <formula>$M82="→"</formula>
    </cfRule>
  </conditionalFormatting>
  <conditionalFormatting sqref="T91">
    <cfRule type="expression" dxfId="77" priority="79">
      <formula>$M91="←"</formula>
    </cfRule>
    <cfRule type="expression" dxfId="76" priority="80">
      <formula>$M91="→"</formula>
    </cfRule>
  </conditionalFormatting>
  <conditionalFormatting sqref="T93">
    <cfRule type="expression" dxfId="75" priority="77">
      <formula>$M93="←"</formula>
    </cfRule>
    <cfRule type="expression" dxfId="74" priority="78">
      <formula>$M93="→"</formula>
    </cfRule>
  </conditionalFormatting>
  <conditionalFormatting sqref="T92">
    <cfRule type="expression" dxfId="73" priority="75">
      <formula>$M92="←"</formula>
    </cfRule>
    <cfRule type="expression" dxfId="72" priority="76">
      <formula>$M92="→"</formula>
    </cfRule>
  </conditionalFormatting>
  <conditionalFormatting sqref="M89:N89">
    <cfRule type="expression" dxfId="71" priority="73">
      <formula>$M89="←"</formula>
    </cfRule>
    <cfRule type="expression" dxfId="70" priority="74">
      <formula>$M89="→"</formula>
    </cfRule>
  </conditionalFormatting>
  <conditionalFormatting sqref="S89">
    <cfRule type="expression" dxfId="69" priority="71">
      <formula>$M89="←"</formula>
    </cfRule>
    <cfRule type="expression" dxfId="68" priority="72">
      <formula>$M89="→"</formula>
    </cfRule>
  </conditionalFormatting>
  <conditionalFormatting sqref="U89">
    <cfRule type="expression" dxfId="67" priority="69">
      <formula>$M89="←"</formula>
    </cfRule>
    <cfRule type="expression" dxfId="66" priority="70">
      <formula>$M89="→"</formula>
    </cfRule>
  </conditionalFormatting>
  <conditionalFormatting sqref="I89:J89">
    <cfRule type="expression" dxfId="65" priority="67">
      <formula>$M89="←"</formula>
    </cfRule>
    <cfRule type="expression" dxfId="64" priority="68">
      <formula>$M89="→"</formula>
    </cfRule>
  </conditionalFormatting>
  <conditionalFormatting sqref="K89">
    <cfRule type="expression" dxfId="63" priority="65">
      <formula>$M89="←"</formula>
    </cfRule>
    <cfRule type="expression" dxfId="62" priority="66">
      <formula>$M89="→"</formula>
    </cfRule>
  </conditionalFormatting>
  <conditionalFormatting sqref="K83">
    <cfRule type="expression" dxfId="61" priority="63">
      <formula>$M83="←"</formula>
    </cfRule>
    <cfRule type="expression" dxfId="60" priority="64">
      <formula>$M83="→"</formula>
    </cfRule>
  </conditionalFormatting>
  <conditionalFormatting sqref="O85">
    <cfRule type="expression" dxfId="59" priority="61">
      <formula>$M85="←"</formula>
    </cfRule>
    <cfRule type="expression" dxfId="58" priority="62">
      <formula>$M85="→"</formula>
    </cfRule>
  </conditionalFormatting>
  <conditionalFormatting sqref="O87">
    <cfRule type="expression" dxfId="57" priority="59">
      <formula>$M87="←"</formula>
    </cfRule>
    <cfRule type="expression" dxfId="56" priority="60">
      <formula>$M87="→"</formula>
    </cfRule>
  </conditionalFormatting>
  <conditionalFormatting sqref="O89">
    <cfRule type="expression" dxfId="55" priority="57">
      <formula>$M89="←"</formula>
    </cfRule>
    <cfRule type="expression" dxfId="54" priority="58">
      <formula>$M89="→"</formula>
    </cfRule>
  </conditionalFormatting>
  <conditionalFormatting sqref="L96">
    <cfRule type="expression" dxfId="53" priority="55">
      <formula>$M96="←"</formula>
    </cfRule>
    <cfRule type="expression" dxfId="52" priority="56">
      <formula>$M96="→"</formula>
    </cfRule>
  </conditionalFormatting>
  <conditionalFormatting sqref="J96">
    <cfRule type="expression" dxfId="51" priority="53">
      <formula>$M96="←"</formula>
    </cfRule>
    <cfRule type="expression" dxfId="50" priority="54">
      <formula>$M96="→"</formula>
    </cfRule>
  </conditionalFormatting>
  <conditionalFormatting sqref="I96">
    <cfRule type="expression" dxfId="49" priority="51">
      <formula>$M96="←"</formula>
    </cfRule>
    <cfRule type="expression" dxfId="48" priority="52">
      <formula>$M96="→"</formula>
    </cfRule>
  </conditionalFormatting>
  <conditionalFormatting sqref="K96">
    <cfRule type="expression" dxfId="47" priority="49">
      <formula>$M96="←"</formula>
    </cfRule>
    <cfRule type="expression" dxfId="46" priority="50">
      <formula>$M96="→"</formula>
    </cfRule>
  </conditionalFormatting>
  <conditionalFormatting sqref="S96">
    <cfRule type="expression" dxfId="45" priority="43">
      <formula>$M96="←"</formula>
    </cfRule>
    <cfRule type="expression" dxfId="44" priority="44">
      <formula>$M96="→"</formula>
    </cfRule>
  </conditionalFormatting>
  <conditionalFormatting sqref="U96">
    <cfRule type="expression" dxfId="43" priority="47">
      <formula>$M96="←"</formula>
    </cfRule>
    <cfRule type="expression" dxfId="42" priority="48">
      <formula>$M96="→"</formula>
    </cfRule>
  </conditionalFormatting>
  <conditionalFormatting sqref="T96">
    <cfRule type="expression" dxfId="41" priority="45">
      <formula>$M96="←"</formula>
    </cfRule>
    <cfRule type="expression" dxfId="40" priority="46">
      <formula>$M96="→"</formula>
    </cfRule>
  </conditionalFormatting>
  <conditionalFormatting sqref="M95:N95">
    <cfRule type="expression" dxfId="39" priority="41">
      <formula>$M95="←"</formula>
    </cfRule>
    <cfRule type="expression" dxfId="38" priority="42">
      <formula>$M95="→"</formula>
    </cfRule>
  </conditionalFormatting>
  <conditionalFormatting sqref="S95">
    <cfRule type="expression" dxfId="37" priority="39">
      <formula>$M95="←"</formula>
    </cfRule>
    <cfRule type="expression" dxfId="36" priority="40">
      <formula>$M95="→"</formula>
    </cfRule>
  </conditionalFormatting>
  <conditionalFormatting sqref="U95">
    <cfRule type="expression" dxfId="35" priority="37">
      <formula>$M95="←"</formula>
    </cfRule>
    <cfRule type="expression" dxfId="34" priority="38">
      <formula>$M95="→"</formula>
    </cfRule>
  </conditionalFormatting>
  <conditionalFormatting sqref="I95:J95">
    <cfRule type="expression" dxfId="33" priority="35">
      <formula>$M95="←"</formula>
    </cfRule>
    <cfRule type="expression" dxfId="32" priority="36">
      <formula>$M95="→"</formula>
    </cfRule>
  </conditionalFormatting>
  <conditionalFormatting sqref="K95">
    <cfRule type="expression" dxfId="31" priority="33">
      <formula>$M95="←"</formula>
    </cfRule>
    <cfRule type="expression" dxfId="30" priority="34">
      <formula>$M95="→"</formula>
    </cfRule>
  </conditionalFormatting>
  <conditionalFormatting sqref="O95">
    <cfRule type="expression" dxfId="29" priority="31">
      <formula>$M95="←"</formula>
    </cfRule>
    <cfRule type="expression" dxfId="28" priority="32">
      <formula>$M95="→"</formula>
    </cfRule>
  </conditionalFormatting>
  <conditionalFormatting sqref="U92">
    <cfRule type="expression" dxfId="27" priority="29">
      <formula>$M92="←"</formula>
    </cfRule>
    <cfRule type="expression" dxfId="26" priority="30">
      <formula>$M92="→"</formula>
    </cfRule>
  </conditionalFormatting>
  <conditionalFormatting sqref="M82:Q82">
    <cfRule type="expression" dxfId="25" priority="27">
      <formula>$M82="←"</formula>
    </cfRule>
    <cfRule type="expression" dxfId="24" priority="28">
      <formula>$M82="→"</formula>
    </cfRule>
  </conditionalFormatting>
  <conditionalFormatting sqref="N88:Q88">
    <cfRule type="expression" dxfId="23" priority="25">
      <formula>$M88="←"</formula>
    </cfRule>
    <cfRule type="expression" dxfId="22" priority="26">
      <formula>$M88="→"</formula>
    </cfRule>
  </conditionalFormatting>
  <conditionalFormatting sqref="S94">
    <cfRule type="expression" dxfId="21" priority="19">
      <formula>$M94="←"</formula>
    </cfRule>
    <cfRule type="expression" dxfId="20" priority="20">
      <formula>$M94="→"</formula>
    </cfRule>
  </conditionalFormatting>
  <conditionalFormatting sqref="T94">
    <cfRule type="expression" dxfId="19" priority="21">
      <formula>$M94="←"</formula>
    </cfRule>
    <cfRule type="expression" dxfId="18" priority="22">
      <formula>$M94="→"</formula>
    </cfRule>
  </conditionalFormatting>
  <conditionalFormatting sqref="N94:Q94">
    <cfRule type="expression" dxfId="17" priority="17">
      <formula>$M94="←"</formula>
    </cfRule>
    <cfRule type="expression" dxfId="16" priority="18">
      <formula>$M94="→"</formula>
    </cfRule>
  </conditionalFormatting>
  <conditionalFormatting sqref="M92:Q92">
    <cfRule type="expression" dxfId="15" priority="15">
      <formula>$M92="←"</formula>
    </cfRule>
    <cfRule type="expression" dxfId="14" priority="16">
      <formula>$M92="→"</formula>
    </cfRule>
  </conditionalFormatting>
  <conditionalFormatting sqref="N28 P28">
    <cfRule type="expression" dxfId="13" priority="13">
      <formula>$M28="←"</formula>
    </cfRule>
    <cfRule type="expression" dxfId="12" priority="14">
      <formula>$M28="→"</formula>
    </cfRule>
  </conditionalFormatting>
  <conditionalFormatting sqref="O28">
    <cfRule type="expression" dxfId="11" priority="11">
      <formula>$M28="←"</formula>
    </cfRule>
    <cfRule type="expression" dxfId="10" priority="12">
      <formula>$M28="→"</formula>
    </cfRule>
  </conditionalFormatting>
  <conditionalFormatting sqref="M21:N24 P21:Q24">
    <cfRule type="expression" dxfId="9" priority="9">
      <formula>$M21="←"</formula>
    </cfRule>
    <cfRule type="expression" dxfId="8" priority="10">
      <formula>$M21="→"</formula>
    </cfRule>
  </conditionalFormatting>
  <conditionalFormatting sqref="O21:O24">
    <cfRule type="expression" dxfId="7" priority="7">
      <formula>$M21="←"</formula>
    </cfRule>
    <cfRule type="expression" dxfId="6" priority="8">
      <formula>$M21="→"</formula>
    </cfRule>
  </conditionalFormatting>
  <conditionalFormatting sqref="N46:Q46">
    <cfRule type="expression" dxfId="5" priority="5">
      <formula>$M46="←"</formula>
    </cfRule>
    <cfRule type="expression" dxfId="4" priority="6">
      <formula>$M46="→"</formula>
    </cfRule>
  </conditionalFormatting>
  <conditionalFormatting sqref="U46">
    <cfRule type="expression" dxfId="3" priority="3">
      <formula>$M46="←"</formula>
    </cfRule>
    <cfRule type="expression" dxfId="2" priority="4">
      <formula>$M46="→"</formula>
    </cfRule>
  </conditionalFormatting>
  <conditionalFormatting sqref="U94">
    <cfRule type="expression" dxfId="1" priority="1">
      <formula>$M94="←"</formula>
    </cfRule>
    <cfRule type="expression" dxfId="0" priority="2">
      <formula>$M94="→"</formula>
    </cfRule>
  </conditionalFormatting>
  <pageMargins left="0.7" right="0.7" top="0.75" bottom="0.75" header="0.3" footer="0.3"/>
  <pageSetup paperSize="9" scale="50" orientation="portrait" r:id="rId1"/>
  <rowBreaks count="1" manualBreakCount="1">
    <brk id="48" max="16383" man="1"/>
  </rowBreaks>
  <colBreaks count="1" manualBreakCount="1">
    <brk id="2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74"/>
  <sheetViews>
    <sheetView view="pageBreakPreview" topLeftCell="B1" zoomScale="115" zoomScaleNormal="85" zoomScaleSheetLayoutView="115" workbookViewId="0">
      <selection activeCell="C4" sqref="C4"/>
    </sheetView>
  </sheetViews>
  <sheetFormatPr defaultRowHeight="12.9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>
      <c r="B3" t="s">
        <v>172</v>
      </c>
      <c r="C3" t="s">
        <v>129</v>
      </c>
    </row>
    <row r="4" spans="2:14">
      <c r="B4" t="s">
        <v>173</v>
      </c>
      <c r="C4" t="s">
        <v>174</v>
      </c>
    </row>
    <row r="5" spans="2:14">
      <c r="C5" t="s">
        <v>175</v>
      </c>
    </row>
    <row r="7" spans="2:14" ht="13.5" thickBot="1"/>
    <row r="8" spans="2:14" ht="13.5" thickBot="1">
      <c r="C8" s="22"/>
      <c r="D8" s="21" t="s">
        <v>176</v>
      </c>
      <c r="E8" s="20" t="s">
        <v>177</v>
      </c>
      <c r="F8" s="20" t="s">
        <v>178</v>
      </c>
      <c r="G8" s="20" t="s">
        <v>179</v>
      </c>
      <c r="H8" s="20" t="s">
        <v>180</v>
      </c>
      <c r="I8" s="20" t="s">
        <v>181</v>
      </c>
      <c r="J8" s="20" t="s">
        <v>182</v>
      </c>
      <c r="K8" s="19" t="s">
        <v>183</v>
      </c>
      <c r="L8" s="18" t="s">
        <v>184</v>
      </c>
      <c r="M8" s="18" t="s">
        <v>185</v>
      </c>
      <c r="N8" s="17" t="s">
        <v>186</v>
      </c>
    </row>
    <row r="9" spans="2:14" ht="13.5" thickTop="1">
      <c r="C9" s="181" t="s">
        <v>45</v>
      </c>
      <c r="D9" s="182" t="s">
        <v>187</v>
      </c>
      <c r="E9" s="183"/>
      <c r="F9" s="183"/>
      <c r="G9" s="183"/>
      <c r="H9" s="183"/>
      <c r="I9" s="183"/>
      <c r="J9" s="183"/>
      <c r="K9" s="184"/>
      <c r="L9" s="24" t="s">
        <v>45</v>
      </c>
      <c r="M9" s="24" t="s">
        <v>45</v>
      </c>
      <c r="N9" s="16"/>
    </row>
    <row r="10" spans="2:14">
      <c r="C10" s="180"/>
      <c r="D10" s="185" t="s">
        <v>129</v>
      </c>
      <c r="E10" s="151"/>
      <c r="F10" s="151"/>
      <c r="G10" s="151"/>
      <c r="H10" s="151"/>
      <c r="I10" s="151"/>
      <c r="J10" s="151"/>
      <c r="K10" s="186"/>
      <c r="L10" s="24" t="s">
        <v>45</v>
      </c>
      <c r="M10" s="24" t="s">
        <v>45</v>
      </c>
      <c r="N10" s="7"/>
    </row>
    <row r="11" spans="2:14">
      <c r="C11" s="180" t="s">
        <v>188</v>
      </c>
      <c r="D11" s="187"/>
      <c r="E11" s="188"/>
      <c r="F11" s="188"/>
      <c r="G11" s="188"/>
      <c r="H11" s="188"/>
      <c r="I11" s="188"/>
      <c r="J11" s="188"/>
      <c r="K11" s="189"/>
      <c r="L11" s="8"/>
      <c r="M11" s="8"/>
      <c r="N11" s="7"/>
    </row>
    <row r="12" spans="2:14">
      <c r="C12" s="180"/>
      <c r="D12" s="23"/>
      <c r="E12" s="26"/>
      <c r="F12" s="26"/>
      <c r="G12" s="26"/>
      <c r="H12" s="26"/>
      <c r="I12" s="26"/>
      <c r="J12" s="27"/>
      <c r="K12" s="25"/>
      <c r="L12" s="8"/>
      <c r="M12" s="8"/>
      <c r="N12" s="7"/>
    </row>
    <row r="13" spans="2:14">
      <c r="C13" s="180" t="s">
        <v>189</v>
      </c>
      <c r="D13" s="12"/>
      <c r="E13" s="11"/>
      <c r="F13" s="26"/>
      <c r="G13" s="26"/>
      <c r="H13" s="26"/>
      <c r="I13" s="26"/>
      <c r="J13" s="27"/>
      <c r="K13" s="25"/>
      <c r="L13" s="8"/>
      <c r="M13" s="8"/>
      <c r="N13" s="7"/>
    </row>
    <row r="14" spans="2:14">
      <c r="C14" s="180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>
      <c r="C15" s="180" t="s">
        <v>190</v>
      </c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>
      <c r="C16" s="180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>
      <c r="C17" s="180" t="s">
        <v>191</v>
      </c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>
      <c r="C18" s="180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>
      <c r="C19" s="180" t="s">
        <v>192</v>
      </c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>
      <c r="C20" s="180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>
      <c r="C21" s="180" t="s">
        <v>193</v>
      </c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>
      <c r="C22" s="180"/>
      <c r="D22" s="12"/>
      <c r="E22" s="11"/>
      <c r="F22" s="11"/>
      <c r="G22" s="11"/>
      <c r="H22" s="11"/>
      <c r="I22" s="11"/>
      <c r="J22" s="10"/>
      <c r="K22" s="9"/>
      <c r="L22" s="8"/>
      <c r="M22" s="8"/>
      <c r="N22" s="7"/>
    </row>
    <row r="23" spans="3:14">
      <c r="C23" s="180" t="s">
        <v>194</v>
      </c>
      <c r="D23" s="23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>
      <c r="C24" s="180"/>
      <c r="D24" s="15"/>
      <c r="E24" s="11"/>
      <c r="F24" s="11"/>
      <c r="G24" s="11"/>
      <c r="H24" s="11"/>
      <c r="I24" s="11"/>
      <c r="J24" s="11"/>
      <c r="K24" s="14"/>
      <c r="L24" s="13"/>
      <c r="M24" s="13"/>
      <c r="N24" s="7"/>
    </row>
    <row r="25" spans="3:14">
      <c r="C25" s="180" t="s">
        <v>195</v>
      </c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>
      <c r="C26" s="180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>
      <c r="C27" s="180" t="s">
        <v>196</v>
      </c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>
      <c r="C28" s="180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>
      <c r="C29" s="180" t="s">
        <v>197</v>
      </c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>
      <c r="C30" s="180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>
      <c r="C31" s="180" t="s">
        <v>198</v>
      </c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>
      <c r="C32" s="180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>
      <c r="C33" s="180" t="s">
        <v>199</v>
      </c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>
      <c r="C34" s="180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>
      <c r="C35" s="180" t="s">
        <v>200</v>
      </c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>
      <c r="C36" s="180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>
      <c r="C37" s="180" t="s">
        <v>201</v>
      </c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>
      <c r="C38" s="180"/>
      <c r="D38" s="12"/>
      <c r="E38" s="11"/>
      <c r="F38" s="11"/>
      <c r="G38" s="11"/>
      <c r="H38" s="11"/>
      <c r="I38" s="11"/>
      <c r="J38" s="10"/>
      <c r="K38" s="9"/>
      <c r="L38" s="8"/>
      <c r="M38" s="8"/>
      <c r="N38" s="7"/>
    </row>
    <row r="39" spans="3:14">
      <c r="C39" s="180" t="s">
        <v>202</v>
      </c>
      <c r="D39" s="23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>
      <c r="C40" s="180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>
      <c r="C41" s="180" t="s">
        <v>203</v>
      </c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>
      <c r="C42" s="180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>
      <c r="C43" s="180" t="s">
        <v>204</v>
      </c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>
      <c r="C44" s="180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>
      <c r="C45" s="180" t="s">
        <v>205</v>
      </c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>
      <c r="C46" s="180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>
      <c r="C47" s="180" t="s">
        <v>206</v>
      </c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>
      <c r="C48" s="180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>
      <c r="C49" s="180" t="s">
        <v>207</v>
      </c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>
      <c r="C50" s="180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>
      <c r="C51" s="180" t="s">
        <v>208</v>
      </c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>
      <c r="C52" s="180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>
      <c r="C53" s="180" t="s">
        <v>209</v>
      </c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>
      <c r="C54" s="180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>
      <c r="C55" s="180" t="s">
        <v>210</v>
      </c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>
      <c r="C56" s="180"/>
      <c r="D56" s="15"/>
      <c r="E56" s="11"/>
      <c r="F56" s="11"/>
      <c r="G56" s="11"/>
      <c r="H56" s="11"/>
      <c r="I56" s="11"/>
      <c r="J56" s="11"/>
      <c r="K56" s="14"/>
      <c r="L56" s="13"/>
      <c r="M56" s="13"/>
      <c r="N56" s="7"/>
    </row>
    <row r="57" spans="3:14">
      <c r="C57" s="180" t="s">
        <v>211</v>
      </c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>
      <c r="C58" s="180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>
      <c r="C59" s="180" t="s">
        <v>212</v>
      </c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>
      <c r="C60" s="180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>
      <c r="C61" s="180" t="s">
        <v>213</v>
      </c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>
      <c r="C62" s="180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>
      <c r="C63" s="180" t="s">
        <v>214</v>
      </c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>
      <c r="C64" s="180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>
      <c r="C65" s="180" t="s">
        <v>215</v>
      </c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>
      <c r="C66" s="180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>
      <c r="C67" s="180" t="s">
        <v>216</v>
      </c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>
      <c r="C68" s="180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>
      <c r="C69" s="180" t="s">
        <v>217</v>
      </c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>
      <c r="C70" s="180"/>
      <c r="D70" s="12"/>
      <c r="E70" s="11"/>
      <c r="F70" s="11"/>
      <c r="G70" s="11"/>
      <c r="H70" s="11"/>
      <c r="I70" s="11"/>
      <c r="J70" s="10"/>
      <c r="K70" s="9"/>
      <c r="L70" s="8"/>
      <c r="M70" s="8"/>
      <c r="N70" s="7"/>
    </row>
    <row r="71" spans="3:14">
      <c r="C71" s="180" t="s">
        <v>218</v>
      </c>
      <c r="D71" s="23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>
      <c r="C72" s="180"/>
      <c r="D72" s="15"/>
      <c r="E72" s="11"/>
      <c r="F72" s="11"/>
      <c r="G72" s="11"/>
      <c r="H72" s="11"/>
      <c r="I72" s="11"/>
      <c r="J72" s="11"/>
      <c r="K72" s="14"/>
      <c r="L72" s="13"/>
      <c r="M72" s="13"/>
      <c r="N72" s="7"/>
    </row>
    <row r="73" spans="3:14">
      <c r="C73" s="180"/>
      <c r="D73" s="12"/>
      <c r="E73" s="11"/>
      <c r="F73" s="11"/>
      <c r="G73" s="11"/>
      <c r="H73" s="11"/>
      <c r="I73" s="11"/>
      <c r="J73" s="10"/>
      <c r="K73" s="9"/>
      <c r="L73" s="8"/>
      <c r="M73" s="8"/>
      <c r="N73" s="7"/>
    </row>
    <row r="74" spans="3:14" ht="13.5" thickBot="1">
      <c r="C74" s="190"/>
      <c r="D74" s="6"/>
      <c r="E74" s="5"/>
      <c r="F74" s="5"/>
      <c r="G74" s="5"/>
      <c r="H74" s="5"/>
      <c r="I74" s="5"/>
      <c r="J74" s="4"/>
      <c r="K74" s="3"/>
      <c r="L74" s="2"/>
      <c r="M74" s="2"/>
      <c r="N74" s="1"/>
    </row>
  </sheetData>
  <mergeCells count="36">
    <mergeCell ref="C73:C74"/>
    <mergeCell ref="C63:C64"/>
    <mergeCell ref="C65:C66"/>
    <mergeCell ref="C67:C68"/>
    <mergeCell ref="C69:C70"/>
    <mergeCell ref="C71:C72"/>
    <mergeCell ref="C61:C62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37:C38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11:C12"/>
    <mergeCell ref="C13:C14"/>
    <mergeCell ref="C9:C10"/>
    <mergeCell ref="D9:K9"/>
    <mergeCell ref="D10:K10"/>
    <mergeCell ref="D11:K11"/>
  </mergeCells>
  <phoneticPr fontId="1"/>
  <pageMargins left="0" right="0" top="0.59055118110236227" bottom="0.39370078740157483" header="0.31496062992125984" footer="0.31496062992125984"/>
  <pageSetup paperSize="9" scale="73" fitToHeight="0" orientation="landscape" horizont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3:N74"/>
  <sheetViews>
    <sheetView view="pageBreakPreview" topLeftCell="B1" zoomScale="115" zoomScaleNormal="85" zoomScaleSheetLayoutView="115" workbookViewId="0">
      <selection activeCell="B3" sqref="B3"/>
    </sheetView>
  </sheetViews>
  <sheetFormatPr defaultRowHeight="12.9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>
      <c r="B3" t="s">
        <v>172</v>
      </c>
      <c r="C3" t="s">
        <v>129</v>
      </c>
    </row>
    <row r="4" spans="2:14">
      <c r="B4" t="s">
        <v>173</v>
      </c>
      <c r="C4" t="s">
        <v>219</v>
      </c>
    </row>
    <row r="5" spans="2:14">
      <c r="C5" t="s">
        <v>220</v>
      </c>
    </row>
    <row r="6" spans="2:14">
      <c r="C6" t="s">
        <v>221</v>
      </c>
    </row>
    <row r="7" spans="2:14" ht="13.5" thickBot="1"/>
    <row r="8" spans="2:14" ht="13.5" thickBot="1">
      <c r="C8" s="22"/>
      <c r="D8" s="21" t="s">
        <v>176</v>
      </c>
      <c r="E8" s="20" t="s">
        <v>177</v>
      </c>
      <c r="F8" s="20" t="s">
        <v>178</v>
      </c>
      <c r="G8" s="20" t="s">
        <v>179</v>
      </c>
      <c r="H8" s="20" t="s">
        <v>180</v>
      </c>
      <c r="I8" s="20" t="s">
        <v>181</v>
      </c>
      <c r="J8" s="20" t="s">
        <v>182</v>
      </c>
      <c r="K8" s="19" t="s">
        <v>183</v>
      </c>
      <c r="L8" s="18" t="s">
        <v>184</v>
      </c>
      <c r="M8" s="18" t="s">
        <v>185</v>
      </c>
      <c r="N8" s="17" t="s">
        <v>186</v>
      </c>
    </row>
    <row r="9" spans="2:14" ht="13.5" thickTop="1">
      <c r="C9" s="181" t="s">
        <v>45</v>
      </c>
      <c r="D9" s="182" t="s">
        <v>187</v>
      </c>
      <c r="E9" s="183"/>
      <c r="F9" s="183"/>
      <c r="G9" s="183"/>
      <c r="H9" s="183"/>
      <c r="I9" s="183"/>
      <c r="J9" s="183"/>
      <c r="K9" s="184"/>
      <c r="L9" s="24" t="s">
        <v>45</v>
      </c>
      <c r="M9" s="24" t="s">
        <v>45</v>
      </c>
      <c r="N9" s="16"/>
    </row>
    <row r="10" spans="2:14">
      <c r="C10" s="180"/>
      <c r="D10" s="185" t="s">
        <v>129</v>
      </c>
      <c r="E10" s="151"/>
      <c r="F10" s="151"/>
      <c r="G10" s="151"/>
      <c r="H10" s="151"/>
      <c r="I10" s="151"/>
      <c r="J10" s="151"/>
      <c r="K10" s="186"/>
      <c r="L10" s="24" t="s">
        <v>45</v>
      </c>
      <c r="M10" s="24" t="s">
        <v>45</v>
      </c>
      <c r="N10" s="7"/>
    </row>
    <row r="11" spans="2:14">
      <c r="C11" s="180" t="s">
        <v>188</v>
      </c>
      <c r="D11" s="187" t="s">
        <v>222</v>
      </c>
      <c r="E11" s="188"/>
      <c r="F11" s="188"/>
      <c r="G11" s="188"/>
      <c r="H11" s="188"/>
      <c r="I11" s="188"/>
      <c r="J11" s="188"/>
      <c r="K11" s="189"/>
      <c r="L11" s="8"/>
      <c r="M11" s="8"/>
      <c r="N11" s="7"/>
    </row>
    <row r="12" spans="2:14">
      <c r="C12" s="180"/>
      <c r="D12" s="23" t="s">
        <v>223</v>
      </c>
      <c r="E12" s="26" t="s">
        <v>224</v>
      </c>
      <c r="F12" s="26" t="s">
        <v>225</v>
      </c>
      <c r="G12" s="26" t="s">
        <v>226</v>
      </c>
      <c r="H12" s="26" t="s">
        <v>227</v>
      </c>
      <c r="I12" s="26" t="s">
        <v>228</v>
      </c>
      <c r="J12" s="27" t="s">
        <v>53</v>
      </c>
      <c r="K12" s="25" t="s">
        <v>52</v>
      </c>
      <c r="L12" s="8"/>
      <c r="M12" s="8"/>
      <c r="N12" s="7"/>
    </row>
    <row r="13" spans="2:14">
      <c r="C13" s="180" t="s">
        <v>189</v>
      </c>
      <c r="D13" s="12"/>
      <c r="E13" s="11"/>
      <c r="F13" s="26"/>
      <c r="G13" s="26"/>
      <c r="H13" s="26"/>
      <c r="I13" s="26"/>
      <c r="J13" s="27"/>
      <c r="K13" s="25"/>
      <c r="L13" s="8"/>
      <c r="M13" s="8"/>
      <c r="N13" s="7"/>
    </row>
    <row r="14" spans="2:14">
      <c r="C14" s="180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>
      <c r="C15" s="180" t="s">
        <v>190</v>
      </c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>
      <c r="C16" s="180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>
      <c r="C17" s="180" t="s">
        <v>191</v>
      </c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>
      <c r="C18" s="180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>
      <c r="C19" s="180" t="s">
        <v>192</v>
      </c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>
      <c r="C20" s="180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>
      <c r="C21" s="180" t="s">
        <v>193</v>
      </c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>
      <c r="C22" s="180"/>
      <c r="D22" s="12"/>
      <c r="E22" s="11"/>
      <c r="F22" s="11"/>
      <c r="G22" s="11"/>
      <c r="H22" s="11"/>
      <c r="I22" s="11"/>
      <c r="J22" s="10"/>
      <c r="K22" s="9"/>
      <c r="L22" s="8"/>
      <c r="M22" s="8"/>
      <c r="N22" s="7"/>
    </row>
    <row r="23" spans="3:14">
      <c r="C23" s="180" t="s">
        <v>194</v>
      </c>
      <c r="D23" s="23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>
      <c r="C24" s="180"/>
      <c r="D24" s="15"/>
      <c r="E24" s="11"/>
      <c r="F24" s="11"/>
      <c r="G24" s="11"/>
      <c r="H24" s="11"/>
      <c r="I24" s="11"/>
      <c r="J24" s="11"/>
      <c r="K24" s="14"/>
      <c r="L24" s="13"/>
      <c r="M24" s="13"/>
      <c r="N24" s="7"/>
    </row>
    <row r="25" spans="3:14">
      <c r="C25" s="180" t="s">
        <v>195</v>
      </c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>
      <c r="C26" s="180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>
      <c r="C27" s="180" t="s">
        <v>196</v>
      </c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>
      <c r="C28" s="180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>
      <c r="C29" s="180" t="s">
        <v>197</v>
      </c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>
      <c r="C30" s="180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>
      <c r="C31" s="180" t="s">
        <v>198</v>
      </c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>
      <c r="C32" s="180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>
      <c r="C33" s="180" t="s">
        <v>199</v>
      </c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>
      <c r="C34" s="180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>
      <c r="C35" s="180" t="s">
        <v>200</v>
      </c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>
      <c r="C36" s="180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>
      <c r="C37" s="180" t="s">
        <v>201</v>
      </c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>
      <c r="C38" s="180"/>
      <c r="D38" s="12"/>
      <c r="E38" s="11"/>
      <c r="F38" s="11"/>
      <c r="G38" s="11"/>
      <c r="H38" s="11"/>
      <c r="I38" s="11"/>
      <c r="J38" s="10"/>
      <c r="K38" s="9"/>
      <c r="L38" s="8"/>
      <c r="M38" s="8"/>
      <c r="N38" s="7"/>
    </row>
    <row r="39" spans="3:14">
      <c r="C39" s="180" t="s">
        <v>202</v>
      </c>
      <c r="D39" s="23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>
      <c r="C40" s="180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>
      <c r="C41" s="180" t="s">
        <v>203</v>
      </c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>
      <c r="C42" s="180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>
      <c r="C43" s="180" t="s">
        <v>204</v>
      </c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>
      <c r="C44" s="180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>
      <c r="C45" s="180" t="s">
        <v>205</v>
      </c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>
      <c r="C46" s="180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>
      <c r="C47" s="180" t="s">
        <v>206</v>
      </c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>
      <c r="C48" s="180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>
      <c r="C49" s="180" t="s">
        <v>207</v>
      </c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>
      <c r="C50" s="180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>
      <c r="C51" s="180" t="s">
        <v>208</v>
      </c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>
      <c r="C52" s="180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>
      <c r="C53" s="180" t="s">
        <v>209</v>
      </c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>
      <c r="C54" s="180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>
      <c r="C55" s="180" t="s">
        <v>210</v>
      </c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>
      <c r="C56" s="180"/>
      <c r="D56" s="15"/>
      <c r="E56" s="11"/>
      <c r="F56" s="11"/>
      <c r="G56" s="11"/>
      <c r="H56" s="11"/>
      <c r="I56" s="11"/>
      <c r="J56" s="11"/>
      <c r="K56" s="14"/>
      <c r="L56" s="13"/>
      <c r="M56" s="13"/>
      <c r="N56" s="7"/>
    </row>
    <row r="57" spans="3:14">
      <c r="C57" s="180" t="s">
        <v>211</v>
      </c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>
      <c r="C58" s="180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>
      <c r="C59" s="180" t="s">
        <v>212</v>
      </c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>
      <c r="C60" s="180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>
      <c r="C61" s="180" t="s">
        <v>213</v>
      </c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>
      <c r="C62" s="180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>
      <c r="C63" s="180" t="s">
        <v>214</v>
      </c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>
      <c r="C64" s="180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>
      <c r="C65" s="180" t="s">
        <v>215</v>
      </c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>
      <c r="C66" s="180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>
      <c r="C67" s="180" t="s">
        <v>216</v>
      </c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>
      <c r="C68" s="180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>
      <c r="C69" s="180" t="s">
        <v>217</v>
      </c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>
      <c r="C70" s="180"/>
      <c r="D70" s="12"/>
      <c r="E70" s="11"/>
      <c r="F70" s="11"/>
      <c r="G70" s="11"/>
      <c r="H70" s="11"/>
      <c r="I70" s="11"/>
      <c r="J70" s="10"/>
      <c r="K70" s="9"/>
      <c r="L70" s="8"/>
      <c r="M70" s="8"/>
      <c r="N70" s="7"/>
    </row>
    <row r="71" spans="3:14">
      <c r="C71" s="180" t="s">
        <v>218</v>
      </c>
      <c r="D71" s="23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>
      <c r="C72" s="180"/>
      <c r="D72" s="15"/>
      <c r="E72" s="11"/>
      <c r="F72" s="11"/>
      <c r="G72" s="11"/>
      <c r="H72" s="11"/>
      <c r="I72" s="11"/>
      <c r="J72" s="11"/>
      <c r="K72" s="14"/>
      <c r="L72" s="13"/>
      <c r="M72" s="13"/>
      <c r="N72" s="7"/>
    </row>
    <row r="73" spans="3:14">
      <c r="C73" s="180"/>
      <c r="D73" s="12"/>
      <c r="E73" s="11"/>
      <c r="F73" s="11"/>
      <c r="G73" s="11"/>
      <c r="H73" s="11"/>
      <c r="I73" s="11"/>
      <c r="J73" s="10"/>
      <c r="K73" s="9"/>
      <c r="L73" s="8"/>
      <c r="M73" s="8"/>
      <c r="N73" s="7"/>
    </row>
    <row r="74" spans="3:14" ht="13.5" thickBot="1">
      <c r="C74" s="190"/>
      <c r="D74" s="6"/>
      <c r="E74" s="5"/>
      <c r="F74" s="5"/>
      <c r="G74" s="5"/>
      <c r="H74" s="5"/>
      <c r="I74" s="5"/>
      <c r="J74" s="4"/>
      <c r="K74" s="3"/>
      <c r="L74" s="2"/>
      <c r="M74" s="2"/>
      <c r="N74" s="1"/>
    </row>
  </sheetData>
  <mergeCells count="36">
    <mergeCell ref="C73:C74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49:C50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25:C26"/>
    <mergeCell ref="C9:C10"/>
    <mergeCell ref="D9:K9"/>
    <mergeCell ref="D10:K10"/>
    <mergeCell ref="C11:C12"/>
    <mergeCell ref="D11:K11"/>
    <mergeCell ref="C13:C14"/>
    <mergeCell ref="C15:C16"/>
    <mergeCell ref="C17:C18"/>
    <mergeCell ref="C19:C20"/>
    <mergeCell ref="C21:C22"/>
    <mergeCell ref="C23:C24"/>
  </mergeCells>
  <phoneticPr fontId="1"/>
  <pageMargins left="0" right="0" top="0.59055118110236227" bottom="0.39370078740157483" header="0.31496062992125984" footer="0.31496062992125984"/>
  <pageSetup paperSize="9" scale="73" fitToHeight="0" orientation="landscape" horizontalDpi="4294967294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3:N74"/>
  <sheetViews>
    <sheetView view="pageBreakPreview" zoomScale="115" zoomScaleNormal="85" zoomScaleSheetLayoutView="115" workbookViewId="0">
      <selection activeCell="H6" sqref="H6"/>
    </sheetView>
  </sheetViews>
  <sheetFormatPr defaultRowHeight="12.9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>
      <c r="B3" t="s">
        <v>172</v>
      </c>
      <c r="C3" t="s">
        <v>129</v>
      </c>
    </row>
    <row r="4" spans="2:14">
      <c r="B4" t="s">
        <v>173</v>
      </c>
      <c r="C4" t="s">
        <v>229</v>
      </c>
    </row>
    <row r="5" spans="2:14">
      <c r="C5" t="s">
        <v>230</v>
      </c>
    </row>
    <row r="6" spans="2:14">
      <c r="C6" t="s">
        <v>231</v>
      </c>
    </row>
    <row r="7" spans="2:14" ht="13.5" thickBot="1"/>
    <row r="8" spans="2:14" ht="13.5" thickBot="1">
      <c r="C8" s="22"/>
      <c r="D8" s="21" t="s">
        <v>176</v>
      </c>
      <c r="E8" s="20" t="s">
        <v>177</v>
      </c>
      <c r="F8" s="20" t="s">
        <v>178</v>
      </c>
      <c r="G8" s="20" t="s">
        <v>179</v>
      </c>
      <c r="H8" s="20" t="s">
        <v>180</v>
      </c>
      <c r="I8" s="20" t="s">
        <v>181</v>
      </c>
      <c r="J8" s="20" t="s">
        <v>182</v>
      </c>
      <c r="K8" s="19" t="s">
        <v>183</v>
      </c>
      <c r="L8" s="18" t="s">
        <v>184</v>
      </c>
      <c r="M8" s="18" t="s">
        <v>185</v>
      </c>
      <c r="N8" s="17" t="s">
        <v>186</v>
      </c>
    </row>
    <row r="9" spans="2:14" ht="13.5" thickTop="1">
      <c r="C9" s="181" t="s">
        <v>45</v>
      </c>
      <c r="D9" s="182" t="s">
        <v>187</v>
      </c>
      <c r="E9" s="183"/>
      <c r="F9" s="183"/>
      <c r="G9" s="183"/>
      <c r="H9" s="183"/>
      <c r="I9" s="183"/>
      <c r="J9" s="183"/>
      <c r="K9" s="184"/>
      <c r="L9" s="24" t="s">
        <v>45</v>
      </c>
      <c r="M9" s="24" t="s">
        <v>45</v>
      </c>
      <c r="N9" s="16"/>
    </row>
    <row r="10" spans="2:14">
      <c r="C10" s="180"/>
      <c r="D10" s="185" t="s">
        <v>129</v>
      </c>
      <c r="E10" s="151"/>
      <c r="F10" s="151"/>
      <c r="G10" s="151"/>
      <c r="H10" s="151"/>
      <c r="I10" s="151"/>
      <c r="J10" s="151"/>
      <c r="K10" s="186"/>
      <c r="L10" s="24" t="s">
        <v>45</v>
      </c>
      <c r="M10" s="24" t="s">
        <v>45</v>
      </c>
      <c r="N10" s="7"/>
    </row>
    <row r="11" spans="2:14">
      <c r="C11" s="180" t="s">
        <v>188</v>
      </c>
      <c r="D11" s="187" t="s">
        <v>222</v>
      </c>
      <c r="E11" s="188"/>
      <c r="F11" s="188"/>
      <c r="G11" s="188"/>
      <c r="H11" s="188"/>
      <c r="I11" s="188"/>
      <c r="J11" s="188"/>
      <c r="K11" s="189"/>
      <c r="L11" s="8"/>
      <c r="M11" s="8"/>
      <c r="N11" s="7"/>
    </row>
    <row r="12" spans="2:14">
      <c r="C12" s="180"/>
      <c r="D12" s="23" t="s">
        <v>223</v>
      </c>
      <c r="E12" s="26" t="s">
        <v>224</v>
      </c>
      <c r="F12" s="26" t="s">
        <v>225</v>
      </c>
      <c r="G12" s="26" t="s">
        <v>226</v>
      </c>
      <c r="H12" s="26" t="s">
        <v>227</v>
      </c>
      <c r="I12" s="26" t="s">
        <v>228</v>
      </c>
      <c r="J12" s="27" t="s">
        <v>53</v>
      </c>
      <c r="K12" s="25" t="s">
        <v>52</v>
      </c>
      <c r="L12" s="8"/>
      <c r="M12" s="8"/>
      <c r="N12" s="7"/>
    </row>
    <row r="13" spans="2:14">
      <c r="C13" s="180" t="s">
        <v>189</v>
      </c>
      <c r="D13" s="12"/>
      <c r="E13" s="11"/>
      <c r="F13" s="26"/>
      <c r="G13" s="26"/>
      <c r="H13" s="26"/>
      <c r="I13" s="26"/>
      <c r="J13" s="27"/>
      <c r="K13" s="25"/>
      <c r="L13" s="8"/>
      <c r="M13" s="8"/>
      <c r="N13" s="7"/>
    </row>
    <row r="14" spans="2:14">
      <c r="C14" s="180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>
      <c r="C15" s="180" t="s">
        <v>190</v>
      </c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>
      <c r="C16" s="180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>
      <c r="C17" s="180" t="s">
        <v>191</v>
      </c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>
      <c r="C18" s="180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>
      <c r="C19" s="180" t="s">
        <v>192</v>
      </c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>
      <c r="C20" s="180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>
      <c r="C21" s="180" t="s">
        <v>193</v>
      </c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>
      <c r="C22" s="180"/>
      <c r="D22" s="12"/>
      <c r="E22" s="11"/>
      <c r="F22" s="11"/>
      <c r="G22" s="11"/>
      <c r="H22" s="11"/>
      <c r="I22" s="11"/>
      <c r="J22" s="10"/>
      <c r="K22" s="9"/>
      <c r="L22" s="8"/>
      <c r="M22" s="8"/>
      <c r="N22" s="7"/>
    </row>
    <row r="23" spans="3:14">
      <c r="C23" s="180" t="s">
        <v>194</v>
      </c>
      <c r="D23" s="23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>
      <c r="C24" s="180"/>
      <c r="D24" s="15"/>
      <c r="E24" s="11"/>
      <c r="F24" s="11"/>
      <c r="G24" s="11"/>
      <c r="H24" s="11"/>
      <c r="I24" s="11"/>
      <c r="J24" s="11"/>
      <c r="K24" s="14"/>
      <c r="L24" s="13"/>
      <c r="M24" s="13"/>
      <c r="N24" s="7"/>
    </row>
    <row r="25" spans="3:14">
      <c r="C25" s="180" t="s">
        <v>195</v>
      </c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>
      <c r="C26" s="180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>
      <c r="C27" s="180" t="s">
        <v>196</v>
      </c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>
      <c r="C28" s="180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>
      <c r="C29" s="180" t="s">
        <v>197</v>
      </c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>
      <c r="C30" s="180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>
      <c r="C31" s="180" t="s">
        <v>198</v>
      </c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>
      <c r="C32" s="180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>
      <c r="C33" s="180" t="s">
        <v>199</v>
      </c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>
      <c r="C34" s="180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>
      <c r="C35" s="180" t="s">
        <v>200</v>
      </c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>
      <c r="C36" s="180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>
      <c r="C37" s="180" t="s">
        <v>201</v>
      </c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>
      <c r="C38" s="180"/>
      <c r="D38" s="12"/>
      <c r="E38" s="11"/>
      <c r="F38" s="11"/>
      <c r="G38" s="11"/>
      <c r="H38" s="11"/>
      <c r="I38" s="11"/>
      <c r="J38" s="10"/>
      <c r="K38" s="9"/>
      <c r="L38" s="8"/>
      <c r="M38" s="8"/>
      <c r="N38" s="7"/>
    </row>
    <row r="39" spans="3:14">
      <c r="C39" s="180" t="s">
        <v>202</v>
      </c>
      <c r="D39" s="23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>
      <c r="C40" s="180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>
      <c r="C41" s="180" t="s">
        <v>203</v>
      </c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>
      <c r="C42" s="180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>
      <c r="C43" s="180" t="s">
        <v>204</v>
      </c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>
      <c r="C44" s="180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>
      <c r="C45" s="180" t="s">
        <v>205</v>
      </c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>
      <c r="C46" s="180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>
      <c r="C47" s="180" t="s">
        <v>206</v>
      </c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>
      <c r="C48" s="180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>
      <c r="C49" s="180" t="s">
        <v>207</v>
      </c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>
      <c r="C50" s="180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>
      <c r="C51" s="180" t="s">
        <v>208</v>
      </c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>
      <c r="C52" s="180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>
      <c r="C53" s="180" t="s">
        <v>209</v>
      </c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>
      <c r="C54" s="180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>
      <c r="C55" s="180" t="s">
        <v>210</v>
      </c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>
      <c r="C56" s="180"/>
      <c r="D56" s="15"/>
      <c r="E56" s="11"/>
      <c r="F56" s="11"/>
      <c r="G56" s="11"/>
      <c r="H56" s="11"/>
      <c r="I56" s="11"/>
      <c r="J56" s="11"/>
      <c r="K56" s="14"/>
      <c r="L56" s="13"/>
      <c r="M56" s="13"/>
      <c r="N56" s="7"/>
    </row>
    <row r="57" spans="3:14">
      <c r="C57" s="180" t="s">
        <v>211</v>
      </c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>
      <c r="C58" s="180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>
      <c r="C59" s="180" t="s">
        <v>212</v>
      </c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>
      <c r="C60" s="180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>
      <c r="C61" s="180" t="s">
        <v>213</v>
      </c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>
      <c r="C62" s="180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>
      <c r="C63" s="180" t="s">
        <v>214</v>
      </c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>
      <c r="C64" s="180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>
      <c r="C65" s="180" t="s">
        <v>215</v>
      </c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>
      <c r="C66" s="180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>
      <c r="C67" s="180" t="s">
        <v>216</v>
      </c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>
      <c r="C68" s="180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>
      <c r="C69" s="180" t="s">
        <v>217</v>
      </c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>
      <c r="C70" s="180"/>
      <c r="D70" s="12"/>
      <c r="E70" s="11"/>
      <c r="F70" s="11"/>
      <c r="G70" s="11"/>
      <c r="H70" s="11"/>
      <c r="I70" s="11"/>
      <c r="J70" s="10"/>
      <c r="K70" s="9"/>
      <c r="L70" s="8"/>
      <c r="M70" s="8"/>
      <c r="N70" s="7"/>
    </row>
    <row r="71" spans="3:14">
      <c r="C71" s="180" t="s">
        <v>218</v>
      </c>
      <c r="D71" s="23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>
      <c r="C72" s="180"/>
      <c r="D72" s="15"/>
      <c r="E72" s="11"/>
      <c r="F72" s="11"/>
      <c r="G72" s="11"/>
      <c r="H72" s="11"/>
      <c r="I72" s="11"/>
      <c r="J72" s="11"/>
      <c r="K72" s="14"/>
      <c r="L72" s="13"/>
      <c r="M72" s="13"/>
      <c r="N72" s="7"/>
    </row>
    <row r="73" spans="3:14">
      <c r="C73" s="180"/>
      <c r="D73" s="12"/>
      <c r="E73" s="11"/>
      <c r="F73" s="11"/>
      <c r="G73" s="11"/>
      <c r="H73" s="11"/>
      <c r="I73" s="11"/>
      <c r="J73" s="10"/>
      <c r="K73" s="9"/>
      <c r="L73" s="8"/>
      <c r="M73" s="8"/>
      <c r="N73" s="7"/>
    </row>
    <row r="74" spans="3:14" ht="13.5" thickBot="1">
      <c r="C74" s="190"/>
      <c r="D74" s="6"/>
      <c r="E74" s="5"/>
      <c r="F74" s="5"/>
      <c r="G74" s="5"/>
      <c r="H74" s="5"/>
      <c r="I74" s="5"/>
      <c r="J74" s="4"/>
      <c r="K74" s="3"/>
      <c r="L74" s="2"/>
      <c r="M74" s="2"/>
      <c r="N74" s="1"/>
    </row>
  </sheetData>
  <mergeCells count="36">
    <mergeCell ref="C73:C74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49:C50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25:C26"/>
    <mergeCell ref="C9:C10"/>
    <mergeCell ref="D9:K9"/>
    <mergeCell ref="D10:K10"/>
    <mergeCell ref="C11:C12"/>
    <mergeCell ref="D11:K11"/>
    <mergeCell ref="C13:C14"/>
    <mergeCell ref="C15:C16"/>
    <mergeCell ref="C17:C18"/>
    <mergeCell ref="C19:C20"/>
    <mergeCell ref="C21:C22"/>
    <mergeCell ref="C23:C24"/>
  </mergeCells>
  <phoneticPr fontId="1"/>
  <pageMargins left="0" right="0" top="0.59055118110236227" bottom="0.39370078740157483" header="0.31496062992125984" footer="0.31496062992125984"/>
  <pageSetup paperSize="9" scale="73" fitToHeight="0" orientation="landscape" horizontalDpi="4294967294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61"/>
  <sheetViews>
    <sheetView zoomScale="70" zoomScaleNormal="70" workbookViewId="0">
      <selection activeCell="E4" sqref="E4"/>
    </sheetView>
  </sheetViews>
  <sheetFormatPr defaultRowHeight="12.95"/>
  <cols>
    <col min="1" max="2" width="4.875" customWidth="1"/>
    <col min="16" max="16" width="18.75" bestFit="1" customWidth="1"/>
    <col min="17" max="18" width="12.625" bestFit="1" customWidth="1"/>
  </cols>
  <sheetData>
    <row r="2" spans="2:2">
      <c r="B2" s="44" t="s">
        <v>232</v>
      </c>
    </row>
    <row r="45" spans="16:20">
      <c r="Q45" s="151" t="s">
        <v>233</v>
      </c>
      <c r="R45" s="151"/>
      <c r="S45" s="151"/>
      <c r="T45" s="151"/>
    </row>
    <row r="46" spans="16:20">
      <c r="Q46" s="151" t="s">
        <v>234</v>
      </c>
      <c r="R46" s="151"/>
      <c r="S46" s="151" t="s">
        <v>235</v>
      </c>
      <c r="T46" s="151"/>
    </row>
    <row r="47" spans="16:20">
      <c r="Q47" s="139" t="s">
        <v>236</v>
      </c>
      <c r="R47" s="84" t="s">
        <v>109</v>
      </c>
      <c r="S47" s="84" t="s">
        <v>237</v>
      </c>
      <c r="T47" s="84" t="s">
        <v>109</v>
      </c>
    </row>
    <row r="48" spans="16:20">
      <c r="P48" s="11" t="s">
        <v>238</v>
      </c>
      <c r="Q48" s="11" t="s">
        <v>236</v>
      </c>
      <c r="R48" s="11" t="s">
        <v>239</v>
      </c>
      <c r="S48" s="11" t="s">
        <v>237</v>
      </c>
      <c r="T48" s="11" t="s">
        <v>109</v>
      </c>
    </row>
    <row r="49" spans="16:20">
      <c r="P49" s="11" t="s">
        <v>240</v>
      </c>
      <c r="Q49" s="11" t="s">
        <v>239</v>
      </c>
      <c r="R49" s="11" t="s">
        <v>239</v>
      </c>
      <c r="S49" s="11" t="s">
        <v>237</v>
      </c>
      <c r="T49" s="11" t="s">
        <v>109</v>
      </c>
    </row>
    <row r="52" spans="16:20">
      <c r="P52" t="s">
        <v>241</v>
      </c>
    </row>
    <row r="54" spans="16:20">
      <c r="Q54" s="151" t="s">
        <v>233</v>
      </c>
      <c r="R54" s="151"/>
      <c r="S54" s="151"/>
      <c r="T54" s="151"/>
    </row>
    <row r="55" spans="16:20">
      <c r="Q55" s="151" t="s">
        <v>234</v>
      </c>
      <c r="R55" s="151"/>
      <c r="S55" s="151" t="s">
        <v>235</v>
      </c>
      <c r="T55" s="151"/>
    </row>
    <row r="56" spans="16:20">
      <c r="Q56" s="139" t="s">
        <v>236</v>
      </c>
      <c r="R56" s="139" t="s">
        <v>109</v>
      </c>
      <c r="S56" s="139" t="s">
        <v>237</v>
      </c>
      <c r="T56" s="139" t="s">
        <v>109</v>
      </c>
    </row>
    <row r="57" spans="16:20">
      <c r="P57" s="11" t="s">
        <v>242</v>
      </c>
      <c r="Q57" s="140" t="s">
        <v>109</v>
      </c>
      <c r="R57" s="11" t="s">
        <v>109</v>
      </c>
      <c r="S57" s="11" t="s">
        <v>243</v>
      </c>
      <c r="T57" s="11" t="s">
        <v>109</v>
      </c>
    </row>
    <row r="59" spans="16:20">
      <c r="P59" t="s">
        <v>244</v>
      </c>
    </row>
    <row r="60" spans="16:20">
      <c r="P60" t="s">
        <v>245</v>
      </c>
    </row>
    <row r="61" spans="16:20">
      <c r="P61" t="s">
        <v>246</v>
      </c>
    </row>
  </sheetData>
  <mergeCells count="6">
    <mergeCell ref="Q45:T45"/>
    <mergeCell ref="Q46:R46"/>
    <mergeCell ref="S46:T46"/>
    <mergeCell ref="Q54:T54"/>
    <mergeCell ref="Q55:R55"/>
    <mergeCell ref="S55:T55"/>
  </mergeCells>
  <phoneticPr fontId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F23" sqref="F23"/>
    </sheetView>
  </sheetViews>
  <sheetFormatPr defaultRowHeight="12.9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K22"/>
  <sheetViews>
    <sheetView workbookViewId="0">
      <selection activeCell="C18" sqref="C18"/>
    </sheetView>
  </sheetViews>
  <sheetFormatPr defaultRowHeight="12.95"/>
  <cols>
    <col min="3" max="3" width="34.875" bestFit="1" customWidth="1"/>
  </cols>
  <sheetData>
    <row r="4" spans="3:11" ht="13.5" thickBot="1">
      <c r="C4" t="s">
        <v>247</v>
      </c>
    </row>
    <row r="5" spans="3:11">
      <c r="C5" s="38"/>
      <c r="D5" s="148" t="s">
        <v>248</v>
      </c>
      <c r="E5" s="148"/>
      <c r="F5" s="148"/>
      <c r="G5" s="149"/>
      <c r="H5" s="149"/>
      <c r="I5" s="149"/>
      <c r="J5" s="149"/>
      <c r="K5" s="150"/>
    </row>
    <row r="6" spans="3:11" ht="13.5" thickBot="1">
      <c r="C6" s="39" t="s">
        <v>249</v>
      </c>
      <c r="D6" s="40" t="s">
        <v>250</v>
      </c>
      <c r="E6" s="40" t="s">
        <v>224</v>
      </c>
      <c r="F6" s="40" t="s">
        <v>225</v>
      </c>
      <c r="G6" s="41" t="s">
        <v>226</v>
      </c>
      <c r="H6" s="41" t="s">
        <v>227</v>
      </c>
      <c r="I6" s="41" t="s">
        <v>228</v>
      </c>
      <c r="J6" s="42" t="s">
        <v>53</v>
      </c>
      <c r="K6" s="43" t="s">
        <v>52</v>
      </c>
    </row>
    <row r="7" spans="3:11" ht="13.5" thickTop="1">
      <c r="C7" s="35" t="s">
        <v>251</v>
      </c>
      <c r="D7" s="32">
        <v>0</v>
      </c>
      <c r="E7" s="32">
        <v>0</v>
      </c>
      <c r="F7" s="32">
        <v>0</v>
      </c>
      <c r="G7" s="30">
        <v>0</v>
      </c>
      <c r="H7" s="30">
        <v>0</v>
      </c>
      <c r="I7" s="30">
        <v>1</v>
      </c>
      <c r="J7" s="30">
        <v>1</v>
      </c>
      <c r="K7" s="31">
        <v>1</v>
      </c>
    </row>
    <row r="8" spans="3:11">
      <c r="C8" s="36" t="s">
        <v>252</v>
      </c>
      <c r="D8" s="33">
        <v>0</v>
      </c>
      <c r="E8" s="33">
        <v>0</v>
      </c>
      <c r="F8" s="33">
        <v>0</v>
      </c>
      <c r="G8" s="11">
        <v>0</v>
      </c>
      <c r="H8" s="11">
        <v>1</v>
      </c>
      <c r="I8" s="11">
        <v>0</v>
      </c>
      <c r="J8" s="11">
        <v>1</v>
      </c>
      <c r="K8" s="28">
        <v>1</v>
      </c>
    </row>
    <row r="9" spans="3:11">
      <c r="C9" s="36" t="s">
        <v>253</v>
      </c>
      <c r="D9" s="33">
        <v>0</v>
      </c>
      <c r="E9" s="33">
        <v>0</v>
      </c>
      <c r="F9" s="33">
        <v>0</v>
      </c>
      <c r="G9" s="11">
        <v>1</v>
      </c>
      <c r="H9" s="11">
        <v>0</v>
      </c>
      <c r="I9" s="11">
        <v>0</v>
      </c>
      <c r="J9" s="11">
        <v>1</v>
      </c>
      <c r="K9" s="28">
        <v>1</v>
      </c>
    </row>
    <row r="10" spans="3:11">
      <c r="C10" s="36" t="s">
        <v>254</v>
      </c>
      <c r="D10" s="33">
        <v>1</v>
      </c>
      <c r="E10" s="33">
        <v>0</v>
      </c>
      <c r="F10" s="33">
        <v>0</v>
      </c>
      <c r="G10" s="11">
        <v>1</v>
      </c>
      <c r="H10" s="11">
        <v>1</v>
      </c>
      <c r="I10" s="11">
        <v>1</v>
      </c>
      <c r="J10" s="11">
        <v>1</v>
      </c>
      <c r="K10" s="28">
        <v>1</v>
      </c>
    </row>
    <row r="11" spans="3:11" ht="13.5" thickBot="1">
      <c r="C11" s="37"/>
      <c r="D11" s="34"/>
      <c r="E11" s="34"/>
      <c r="F11" s="34"/>
      <c r="G11" s="5"/>
      <c r="H11" s="5"/>
      <c r="I11" s="5"/>
      <c r="J11" s="5"/>
      <c r="K11" s="29"/>
    </row>
    <row r="15" spans="3:11" ht="13.5" thickBot="1">
      <c r="C15" t="s">
        <v>255</v>
      </c>
    </row>
    <row r="16" spans="3:11">
      <c r="C16" s="38"/>
      <c r="D16" s="148" t="s">
        <v>248</v>
      </c>
      <c r="E16" s="148"/>
      <c r="F16" s="148"/>
      <c r="G16" s="149"/>
      <c r="H16" s="149"/>
      <c r="I16" s="149"/>
      <c r="J16" s="149"/>
      <c r="K16" s="150"/>
    </row>
    <row r="17" spans="3:11" ht="13.5" thickBot="1">
      <c r="C17" s="39" t="s">
        <v>256</v>
      </c>
      <c r="D17" s="40" t="s">
        <v>250</v>
      </c>
      <c r="E17" s="40" t="s">
        <v>224</v>
      </c>
      <c r="F17" s="40" t="s">
        <v>225</v>
      </c>
      <c r="G17" s="41" t="s">
        <v>226</v>
      </c>
      <c r="H17" s="41" t="s">
        <v>227</v>
      </c>
      <c r="I17" s="41" t="s">
        <v>228</v>
      </c>
      <c r="J17" s="42" t="s">
        <v>53</v>
      </c>
      <c r="K17" s="43" t="s">
        <v>52</v>
      </c>
    </row>
    <row r="18" spans="3:11" ht="13.5" thickTop="1">
      <c r="C18" s="35" t="s">
        <v>251</v>
      </c>
      <c r="D18" s="32">
        <v>0</v>
      </c>
      <c r="E18" s="32">
        <v>0</v>
      </c>
      <c r="F18" s="32">
        <v>0</v>
      </c>
      <c r="G18" s="30">
        <v>0</v>
      </c>
      <c r="H18" s="30">
        <v>0</v>
      </c>
      <c r="I18" s="30">
        <v>1</v>
      </c>
      <c r="J18" s="30">
        <v>0</v>
      </c>
      <c r="K18" s="31">
        <v>0</v>
      </c>
    </row>
    <row r="19" spans="3:11">
      <c r="C19" s="36" t="s">
        <v>252</v>
      </c>
      <c r="D19" s="33">
        <v>0</v>
      </c>
      <c r="E19" s="33">
        <v>0</v>
      </c>
      <c r="F19" s="33">
        <v>0</v>
      </c>
      <c r="G19" s="11">
        <v>0</v>
      </c>
      <c r="H19" s="11">
        <v>1</v>
      </c>
      <c r="I19" s="11">
        <v>0</v>
      </c>
      <c r="J19" s="11">
        <v>0</v>
      </c>
      <c r="K19" s="28">
        <v>0</v>
      </c>
    </row>
    <row r="20" spans="3:11">
      <c r="C20" s="36" t="s">
        <v>253</v>
      </c>
      <c r="D20" s="33">
        <v>0</v>
      </c>
      <c r="E20" s="33">
        <v>0</v>
      </c>
      <c r="F20" s="33">
        <v>0</v>
      </c>
      <c r="G20" s="11">
        <v>1</v>
      </c>
      <c r="H20" s="11">
        <v>0</v>
      </c>
      <c r="I20" s="11">
        <v>0</v>
      </c>
      <c r="J20" s="11">
        <v>0</v>
      </c>
      <c r="K20" s="28">
        <v>0</v>
      </c>
    </row>
    <row r="21" spans="3:11">
      <c r="C21" s="36" t="s">
        <v>254</v>
      </c>
      <c r="D21" s="33">
        <v>1</v>
      </c>
      <c r="E21" s="33">
        <v>0</v>
      </c>
      <c r="F21" s="33">
        <v>0</v>
      </c>
      <c r="G21" s="11">
        <v>0</v>
      </c>
      <c r="H21" s="11">
        <v>0</v>
      </c>
      <c r="I21" s="11">
        <v>0</v>
      </c>
      <c r="J21" s="11">
        <v>0</v>
      </c>
      <c r="K21" s="28">
        <v>0</v>
      </c>
    </row>
    <row r="22" spans="3:11" ht="13.5" thickBot="1">
      <c r="C22" s="37"/>
      <c r="D22" s="34"/>
      <c r="E22" s="34"/>
      <c r="F22" s="34"/>
      <c r="G22" s="5"/>
      <c r="H22" s="5"/>
      <c r="I22" s="5"/>
      <c r="J22" s="5"/>
      <c r="K22" s="29"/>
    </row>
  </sheetData>
  <mergeCells count="2">
    <mergeCell ref="D5:K5"/>
    <mergeCell ref="D16:K16"/>
  </mergeCells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ea7265795a36dbbd08d3abef0aad902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c888f23a1cbc048de6cb5618e1eaad21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5360D-457C-449B-B911-736824D4FCFB}"/>
</file>

<file path=customXml/itemProps2.xml><?xml version="1.0" encoding="utf-8"?>
<ds:datastoreItem xmlns:ds="http://schemas.openxmlformats.org/officeDocument/2006/customXml" ds:itemID="{E780FE2F-631F-4B3E-BE6C-E7D7BAAFE275}"/>
</file>

<file path=customXml/itemProps3.xml><?xml version="1.0" encoding="utf-8"?>
<ds:datastoreItem xmlns:ds="http://schemas.openxmlformats.org/officeDocument/2006/customXml" ds:itemID="{015564FC-2D66-4705-BDB2-AC4D76538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 Carrier Corpration.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Haraguchi, Yoshiki (原口佳樹 □SCD○CSD○CJC)</cp:lastModifiedBy>
  <cp:revision/>
  <dcterms:created xsi:type="dcterms:W3CDTF">2019-09-13T06:37:54Z</dcterms:created>
  <dcterms:modified xsi:type="dcterms:W3CDTF">2024-10-16T07:37:02Z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74966200</vt:r8>
  </property>
  <property fmtid="{D5CDD505-2E9C-101B-9397-08002B2CF9AE}" pid="4" name="MSIP_Label_b7864bb8-b671-4bed-ba85-9478127ab5e9_Enabled">
    <vt:lpwstr>true</vt:lpwstr>
  </property>
  <property fmtid="{D5CDD505-2E9C-101B-9397-08002B2CF9AE}" pid="5" name="MSIP_Label_b7864bb8-b671-4bed-ba85-9478127ab5e9_SetDate">
    <vt:lpwstr>2024-10-16T07:28:20Z</vt:lpwstr>
  </property>
  <property fmtid="{D5CDD505-2E9C-101B-9397-08002B2CF9AE}" pid="6" name="MSIP_Label_b7864bb8-b671-4bed-ba85-9478127ab5e9_Method">
    <vt:lpwstr>Standard</vt:lpwstr>
  </property>
  <property fmtid="{D5CDD505-2E9C-101B-9397-08002B2CF9AE}" pid="7" name="MSIP_Label_b7864bb8-b671-4bed-ba85-9478127ab5e9_Name">
    <vt:lpwstr>Confidential – 2023</vt:lpwstr>
  </property>
  <property fmtid="{D5CDD505-2E9C-101B-9397-08002B2CF9AE}" pid="8" name="MSIP_Label_b7864bb8-b671-4bed-ba85-9478127ab5e9_SiteId">
    <vt:lpwstr>36839a65-7f3f-4bac-9ea4-f571f10a9a03</vt:lpwstr>
  </property>
  <property fmtid="{D5CDD505-2E9C-101B-9397-08002B2CF9AE}" pid="9" name="MSIP_Label_b7864bb8-b671-4bed-ba85-9478127ab5e9_ActionId">
    <vt:lpwstr>168ad89c-0b0f-4b4b-aff9-2ea5f776a2fc</vt:lpwstr>
  </property>
  <property fmtid="{D5CDD505-2E9C-101B-9397-08002B2CF9AE}" pid="10" name="MSIP_Label_b7864bb8-b671-4bed-ba85-9478127ab5e9_ContentBits">
    <vt:lpwstr>0</vt:lpwstr>
  </property>
  <property fmtid="{D5CDD505-2E9C-101B-9397-08002B2CF9AE}" pid="11" name="MediaServiceImageTags">
    <vt:lpwstr/>
  </property>
</Properties>
</file>